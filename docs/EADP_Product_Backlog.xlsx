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Lists" sheetId="4" state="visible" r:id="rId4"/>
  </sheets>
  <definedNames>
    <definedName name="_xlnm._FilterDatabase" localSheetId="0" hidden="1">'Product Backlog'!$A$4:$K$80</definedName>
    <definedName name="_xlnm.Print_Titles" localSheetId="0">'Product Backlog'!$1:$4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FFFFFF"/>
    </font>
    <font>
      <b val="1"/>
      <color rgb="0017365D"/>
    </font>
    <font>
      <b val="1"/>
      <color rgb="00C00000"/>
    </font>
    <font>
      <b val="1"/>
    </font>
    <font>
      <b val="1"/>
      <color rgb="00C65911"/>
    </font>
    <font>
      <b val="1"/>
      <color rgb="00FFFFFF"/>
      <sz val="18"/>
    </font>
    <font>
      <b val="1"/>
      <sz val="14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EDEDED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E7E6E6"/>
      </patternFill>
    </fill>
    <fill>
      <patternFill patternType="solid">
        <fgColor rgb="0070AD47"/>
      </patternFill>
    </fill>
    <fill>
      <patternFill patternType="solid">
        <fgColor rgb="007F8C8D"/>
      </patternFill>
    </fill>
    <fill>
      <patternFill patternType="solid">
        <fgColor rgb="00C00000"/>
      </patternFill>
    </fill>
    <fill>
      <patternFill patternType="solid">
        <fgColor rgb="008064A2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hair">
        <color rgb="00D9E1F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6" fillId="1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8" fillId="2" borderId="0" applyAlignment="1" pivotButton="0" quotePrefix="0" xfId="0">
      <alignment horizontal="center"/>
    </xf>
    <xf numFmtId="0" fontId="3" fillId="3" borderId="0" pivotButton="0" quotePrefix="0" xfId="0"/>
    <xf numFmtId="0" fontId="9" fillId="0" borderId="0" applyAlignment="1" pivotButton="0" quotePrefix="0" xfId="0">
      <alignment horizontal="center"/>
    </xf>
    <xf numFmtId="0" fontId="3" fillId="15" borderId="0" pivotButton="0" quotePrefix="0" xfId="0"/>
    <xf numFmtId="0" fontId="3" fillId="13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Backlog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'Dashboard'!$H$4:$H$7</f>
            </numRef>
          </cat>
          <val>
            <numRef>
              <f>'Dashboard'!$I$4:$I$7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Items by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BacklogTable" displayName="ProductBacklogTable" ref="A4:K80" headerRowCount="1">
  <autoFilter ref="A4:K80"/>
  <tableColumns count="11">
    <tableColumn id="1" name="Backlog ID"/>
    <tableColumn id="2" name="Epic"/>
    <tableColumn id="3" name="User Story / Requirement"/>
    <tableColumn id="4" name="Description"/>
    <tableColumn id="5" name="Priority"/>
    <tableColumn id="6" name="Sprint"/>
    <tableColumn id="7" name="Story Points"/>
    <tableColumn id="8" name="Acceptance Criteria"/>
    <tableColumn id="9" name="Dependency"/>
    <tableColumn id="10" name="Status"/>
    <tableColumn id="11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5" customWidth="1" min="4" max="4"/>
    <col width="13" customWidth="1" min="5" max="5"/>
    <col width="13" customWidth="1" min="6" max="6"/>
    <col width="12" customWidth="1" min="7" max="7"/>
    <col width="70" customWidth="1" min="8" max="8"/>
    <col width="28" customWidth="1" min="9" max="9"/>
    <col width="16" customWidth="1" min="10" max="10"/>
    <col width="22" customWidth="1" min="11" max="11"/>
  </cols>
  <sheetData>
    <row r="1" ht="28" customHeight="1">
      <c r="A1" s="1" t="inlineStr">
        <is>
          <t>ENTERPRISE AVIATION DATA PLATFORM (EADP)</t>
        </is>
      </c>
    </row>
    <row r="2" ht="22" customHeight="1">
      <c r="A2" s="2" t="inlineStr">
        <is>
          <t>UC8 — Product Backlog | Agile Scrum | Sprint 0–3</t>
        </is>
      </c>
    </row>
    <row r="4" ht="32" customHeight="1">
      <c r="A4" s="3" t="inlineStr">
        <is>
          <t>Backlog ID</t>
        </is>
      </c>
      <c r="B4" s="3" t="inlineStr">
        <is>
          <t>Epic</t>
        </is>
      </c>
      <c r="C4" s="3" t="inlineStr">
        <is>
          <t>User Story / Requirement</t>
        </is>
      </c>
      <c r="D4" s="3" t="inlineStr">
        <is>
          <t>Description</t>
        </is>
      </c>
      <c r="E4" s="3" t="inlineStr">
        <is>
          <t>Priority</t>
        </is>
      </c>
      <c r="F4" s="3" t="inlineStr">
        <is>
          <t>Sprint</t>
        </is>
      </c>
      <c r="G4" s="3" t="inlineStr">
        <is>
          <t>Story Points</t>
        </is>
      </c>
      <c r="H4" s="3" t="inlineStr">
        <is>
          <t>Acceptance Criteria</t>
        </is>
      </c>
      <c r="I4" s="3" t="inlineStr">
        <is>
          <t>Dependency</t>
        </is>
      </c>
      <c r="J4" s="3" t="inlineStr">
        <is>
          <t>Status</t>
        </is>
      </c>
      <c r="K4" s="3" t="inlineStr">
        <is>
          <t>Owner</t>
        </is>
      </c>
    </row>
    <row r="5">
      <c r="A5" s="4" t="inlineStr">
        <is>
          <t>PB-001</t>
        </is>
      </c>
      <c r="B5" s="5" t="inlineStr">
        <is>
          <t>Project Initiation</t>
        </is>
      </c>
      <c r="C5" s="6" t="inlineStr">
        <is>
          <t>Study airline business problem</t>
        </is>
      </c>
      <c r="D5" s="6" t="inlineStr">
        <is>
          <t>Understand ABC Airways operational and analytics challenges.</t>
        </is>
      </c>
      <c r="E5" s="7" t="inlineStr">
        <is>
          <t>High</t>
        </is>
      </c>
      <c r="F5" s="8" t="inlineStr">
        <is>
          <t>Sprint 0</t>
        </is>
      </c>
      <c r="G5" s="6" t="n">
        <v>3</v>
      </c>
      <c r="H5" s="6" t="inlineStr">
        <is>
          <t>Business problem, objectives, challenges and outcomes documented.</t>
        </is>
      </c>
      <c r="I5" s="6" t="inlineStr">
        <is>
          <t>None</t>
        </is>
      </c>
      <c r="J5" s="9" t="inlineStr">
        <is>
          <t>Completed</t>
        </is>
      </c>
      <c r="K5" s="6" t="inlineStr"/>
    </row>
    <row r="6">
      <c r="A6" s="4" t="inlineStr">
        <is>
          <t>PB-002</t>
        </is>
      </c>
      <c r="B6" s="5" t="inlineStr">
        <is>
          <t>Project Initiation</t>
        </is>
      </c>
      <c r="C6" s="6" t="inlineStr">
        <is>
          <t>Identify business stakeholders</t>
        </is>
      </c>
      <c r="D6" s="6" t="inlineStr">
        <is>
          <t>Identify Flight Operations, Airport Operations, Customer Service, Maintenance, Commercial and Executive Management stakeholders.</t>
        </is>
      </c>
      <c r="E6" s="7" t="inlineStr">
        <is>
          <t>High</t>
        </is>
      </c>
      <c r="F6" s="8" t="inlineStr">
        <is>
          <t>Sprint 0</t>
        </is>
      </c>
      <c r="G6" s="6" t="n">
        <v>2</v>
      </c>
      <c r="H6" s="6" t="inlineStr">
        <is>
          <t>All six stakeholder groups documented with responsibilities.</t>
        </is>
      </c>
      <c r="I6" s="6" t="inlineStr">
        <is>
          <t>PB-001</t>
        </is>
      </c>
      <c r="J6" s="9" t="inlineStr">
        <is>
          <t>Completed</t>
        </is>
      </c>
      <c r="K6" s="6" t="inlineStr"/>
    </row>
    <row r="7">
      <c r="A7" s="4" t="inlineStr">
        <is>
          <t>PB-003</t>
        </is>
      </c>
      <c r="B7" s="5" t="inlineStr">
        <is>
          <t>Project Initiation</t>
        </is>
      </c>
      <c r="C7" s="6" t="inlineStr">
        <is>
          <t>Define project objectives</t>
        </is>
      </c>
      <c r="D7" s="6" t="inlineStr">
        <is>
          <t>Document objectives for an enterprise-grade aviation data platform.</t>
        </is>
      </c>
      <c r="E7" s="7" t="inlineStr">
        <is>
          <t>High</t>
        </is>
      </c>
      <c r="F7" s="8" t="inlineStr">
        <is>
          <t>Sprint 0</t>
        </is>
      </c>
      <c r="G7" s="6" t="n">
        <v>2</v>
      </c>
      <c r="H7" s="6" t="inlineStr">
        <is>
          <t>Objectives cover heterogeneous ingestion, quality, warehouse, governance, analytics and Git.</t>
        </is>
      </c>
      <c r="I7" s="6" t="inlineStr">
        <is>
          <t>PB-001</t>
        </is>
      </c>
      <c r="J7" s="9" t="inlineStr">
        <is>
          <t>Completed</t>
        </is>
      </c>
      <c r="K7" s="6" t="inlineStr"/>
    </row>
    <row r="8">
      <c r="A8" s="4" t="inlineStr">
        <is>
          <t>PB-004</t>
        </is>
      </c>
      <c r="B8" s="5" t="inlineStr">
        <is>
          <t>Project Initiation</t>
        </is>
      </c>
      <c r="C8" s="6" t="inlineStr">
        <is>
          <t>Define project scope</t>
        </is>
      </c>
      <c r="D8" s="6" t="inlineStr">
        <is>
          <t>Define in-scope and out-of-scope project boundaries.</t>
        </is>
      </c>
      <c r="E8" s="7" t="inlineStr">
        <is>
          <t>High</t>
        </is>
      </c>
      <c r="F8" s="8" t="inlineStr">
        <is>
          <t>Sprint 0</t>
        </is>
      </c>
      <c r="G8" s="6" t="n">
        <v>3</v>
      </c>
      <c r="H8" s="6" t="inlineStr">
        <is>
          <t>Scope is documented and approved for sprint planning.</t>
        </is>
      </c>
      <c r="I8" s="6" t="inlineStr">
        <is>
          <t>PB-003</t>
        </is>
      </c>
      <c r="J8" s="9" t="inlineStr">
        <is>
          <t>Completed</t>
        </is>
      </c>
      <c r="K8" s="6" t="inlineStr"/>
    </row>
    <row r="9">
      <c r="A9" s="4" t="inlineStr">
        <is>
          <t>PB-005</t>
        </is>
      </c>
      <c r="B9" s="5" t="inlineStr">
        <is>
          <t>Project Initiation</t>
        </is>
      </c>
      <c r="C9" s="6" t="inlineStr">
        <is>
          <t>Prepare Business Requirements Document</t>
        </is>
      </c>
      <c r="D9" s="6" t="inlineStr">
        <is>
          <t>Document business requirements for the EADP project.</t>
        </is>
      </c>
      <c r="E9" s="7" t="inlineStr">
        <is>
          <t>High</t>
        </is>
      </c>
      <c r="F9" s="8" t="inlineStr">
        <is>
          <t>Sprint 0</t>
        </is>
      </c>
      <c r="G9" s="6" t="n">
        <v>5</v>
      </c>
      <c r="H9" s="6" t="inlineStr">
        <is>
          <t>BRD exists and reflects the project business problem, objectives, stakeholders and scope.</t>
        </is>
      </c>
      <c r="I9" s="6" t="inlineStr">
        <is>
          <t>PB-001; PB-002; PB-004</t>
        </is>
      </c>
      <c r="J9" s="9" t="inlineStr">
        <is>
          <t>Completed</t>
        </is>
      </c>
      <c r="K9" s="6" t="inlineStr"/>
    </row>
    <row r="10">
      <c r="A10" s="4" t="inlineStr">
        <is>
          <t>PB-006</t>
        </is>
      </c>
      <c r="B10" s="5" t="inlineStr">
        <is>
          <t>Project Initiation</t>
        </is>
      </c>
      <c r="C10" s="6" t="inlineStr">
        <is>
          <t>Create project charter</t>
        </is>
      </c>
      <c r="D10" s="6" t="inlineStr">
        <is>
          <t>Document project purpose, scope, stakeholders, milestones and governance.</t>
        </is>
      </c>
      <c r="E10" s="7" t="inlineStr">
        <is>
          <t>High</t>
        </is>
      </c>
      <c r="F10" s="8" t="inlineStr">
        <is>
          <t>Sprint 0</t>
        </is>
      </c>
      <c r="G10" s="6" t="n">
        <v>3</v>
      </c>
      <c r="H10" s="6" t="inlineStr">
        <is>
          <t>Project charter is available in docs.</t>
        </is>
      </c>
      <c r="I10" s="6" t="inlineStr">
        <is>
          <t>PB-004</t>
        </is>
      </c>
      <c r="J10" s="9" t="inlineStr">
        <is>
          <t>Completed</t>
        </is>
      </c>
      <c r="K10" s="6" t="inlineStr"/>
    </row>
    <row r="11">
      <c r="A11" s="4" t="inlineStr">
        <is>
          <t>PB-007</t>
        </is>
      </c>
      <c r="B11" s="5" t="inlineStr">
        <is>
          <t>Project Initiation</t>
        </is>
      </c>
      <c r="C11" s="6" t="inlineStr">
        <is>
          <t>Prepare Product Backlog</t>
        </is>
      </c>
      <c r="D11" s="6" t="inlineStr">
        <is>
          <t>Create prioritized backlog covering project work across all sprints.</t>
        </is>
      </c>
      <c r="E11" s="7" t="inlineStr">
        <is>
          <t>High</t>
        </is>
      </c>
      <c r="F11" s="8" t="inlineStr">
        <is>
          <t>Sprint 0</t>
        </is>
      </c>
      <c r="G11" s="6" t="n">
        <v>3</v>
      </c>
      <c r="H11" s="6" t="inlineStr">
        <is>
          <t>Backlog has IDs, priorities, sprints, estimates, acceptance criteria and status.</t>
        </is>
      </c>
      <c r="I11" s="6" t="inlineStr">
        <is>
          <t>PB-005; PB-006</t>
        </is>
      </c>
      <c r="J11" s="10" t="inlineStr">
        <is>
          <t>In Progress</t>
        </is>
      </c>
      <c r="K11" s="6" t="inlineStr"/>
    </row>
    <row r="12">
      <c r="A12" s="4" t="inlineStr">
        <is>
          <t>PB-008</t>
        </is>
      </c>
      <c r="B12" s="11" t="inlineStr">
        <is>
          <t>Architecture &amp; Repository</t>
        </is>
      </c>
      <c r="C12" s="6" t="inlineStr">
        <is>
          <t>Design enterprise data architecture</t>
        </is>
      </c>
      <c r="D12" s="6" t="inlineStr">
        <is>
          <t>Define the end-to-end data platform architecture.</t>
        </is>
      </c>
      <c r="E12" s="7" t="inlineStr">
        <is>
          <t>High</t>
        </is>
      </c>
      <c r="F12" s="8" t="inlineStr">
        <is>
          <t>Sprint 0</t>
        </is>
      </c>
      <c r="G12" s="6" t="n">
        <v>5</v>
      </c>
      <c r="H12" s="6" t="inlineStr">
        <is>
          <t>Architecture shows source systems, ETL, landing/staging, curated, warehouse and analytics layers.</t>
        </is>
      </c>
      <c r="I12" s="6" t="inlineStr">
        <is>
          <t>PB-004</t>
        </is>
      </c>
      <c r="J12" s="9" t="inlineStr">
        <is>
          <t>Completed</t>
        </is>
      </c>
      <c r="K12" s="6" t="inlineStr"/>
    </row>
    <row r="13">
      <c r="A13" s="4" t="inlineStr">
        <is>
          <t>PB-009</t>
        </is>
      </c>
      <c r="B13" s="11" t="inlineStr">
        <is>
          <t>Architecture &amp; Repository</t>
        </is>
      </c>
      <c r="C13" s="6" t="inlineStr">
        <is>
          <t>Design high-level architecture diagram</t>
        </is>
      </c>
      <c r="D13" s="6" t="inlineStr">
        <is>
          <t>Create architecture diagram for the EADP platform.</t>
        </is>
      </c>
      <c r="E13" s="7" t="inlineStr">
        <is>
          <t>High</t>
        </is>
      </c>
      <c r="F13" s="8" t="inlineStr">
        <is>
          <t>Sprint 0</t>
        </is>
      </c>
      <c r="G13" s="6" t="n">
        <v>5</v>
      </c>
      <c r="H13" s="6" t="inlineStr">
        <is>
          <t>Architecture diagram is available and version controlled.</t>
        </is>
      </c>
      <c r="I13" s="6" t="inlineStr">
        <is>
          <t>PB-008</t>
        </is>
      </c>
      <c r="J13" s="9" t="inlineStr">
        <is>
          <t>Completed</t>
        </is>
      </c>
      <c r="K13" s="6" t="inlineStr"/>
    </row>
    <row r="14">
      <c r="A14" s="4" t="inlineStr">
        <is>
          <t>PB-010</t>
        </is>
      </c>
      <c r="B14" s="11" t="inlineStr">
        <is>
          <t>Architecture &amp; Repository</t>
        </is>
      </c>
      <c r="C14" s="6" t="inlineStr">
        <is>
          <t>Create Git repository</t>
        </is>
      </c>
      <c r="D14" s="6" t="inlineStr">
        <is>
          <t>Initialize local repository and connect it to GitHub.</t>
        </is>
      </c>
      <c r="E14" s="7" t="inlineStr">
        <is>
          <t>High</t>
        </is>
      </c>
      <c r="F14" s="8" t="inlineStr">
        <is>
          <t>Sprint 0</t>
        </is>
      </c>
      <c r="G14" s="6" t="n">
        <v>2</v>
      </c>
      <c r="H14" s="6" t="inlineStr">
        <is>
          <t>Repository is initialized, remote configured and main branch pushed.</t>
        </is>
      </c>
      <c r="I14" s="6" t="inlineStr">
        <is>
          <t>PB-004</t>
        </is>
      </c>
      <c r="J14" s="9" t="inlineStr">
        <is>
          <t>Completed</t>
        </is>
      </c>
      <c r="K14" s="6" t="inlineStr"/>
    </row>
    <row r="15">
      <c r="A15" s="4" t="inlineStr">
        <is>
          <t>PB-011</t>
        </is>
      </c>
      <c r="B15" s="11" t="inlineStr">
        <is>
          <t>Architecture &amp; Repository</t>
        </is>
      </c>
      <c r="C15" s="6" t="inlineStr">
        <is>
          <t>Create enterprise repository structure</t>
        </is>
      </c>
      <c r="D15" s="6" t="inlineStr">
        <is>
          <t>Create docs, datasets, bronze, silver, gold, pentaho, python, sql, metadata, lineage, dashboards, deployment and tests directories.</t>
        </is>
      </c>
      <c r="E15" s="7" t="inlineStr">
        <is>
          <t>High</t>
        </is>
      </c>
      <c r="F15" s="8" t="inlineStr">
        <is>
          <t>Sprint 0</t>
        </is>
      </c>
      <c r="G15" s="6" t="n">
        <v>3</v>
      </c>
      <c r="H15" s="6" t="inlineStr">
        <is>
          <t>Required directory structure exists in repository.</t>
        </is>
      </c>
      <c r="I15" s="6" t="inlineStr">
        <is>
          <t>PB-010</t>
        </is>
      </c>
      <c r="J15" s="9" t="inlineStr">
        <is>
          <t>Completed</t>
        </is>
      </c>
      <c r="K15" s="6" t="inlineStr"/>
    </row>
    <row r="16">
      <c r="A16" s="4" t="inlineStr">
        <is>
          <t>PB-012</t>
        </is>
      </c>
      <c r="B16" s="11" t="inlineStr">
        <is>
          <t>Architecture &amp; Repository</t>
        </is>
      </c>
      <c r="C16" s="6" t="inlineStr">
        <is>
          <t>Define Git commit convention</t>
        </is>
      </c>
      <c r="D16" s="6" t="inlineStr">
        <is>
          <t>Define meaningful conventional commit prefixes for project history.</t>
        </is>
      </c>
      <c r="E16" s="12" t="inlineStr">
        <is>
          <t>Medium</t>
        </is>
      </c>
      <c r="F16" s="8" t="inlineStr">
        <is>
          <t>Sprint 0</t>
        </is>
      </c>
      <c r="G16" s="6" t="n">
        <v>2</v>
      </c>
      <c r="H16" s="6" t="inlineStr">
        <is>
          <t>Commit convention documented and followed.</t>
        </is>
      </c>
      <c r="I16" s="6" t="inlineStr">
        <is>
          <t>PB-010</t>
        </is>
      </c>
      <c r="J16" s="9" t="inlineStr">
        <is>
          <t>Completed</t>
        </is>
      </c>
      <c r="K16" s="6" t="inlineStr"/>
    </row>
    <row r="17">
      <c r="A17" s="4" t="inlineStr">
        <is>
          <t>PB-013</t>
        </is>
      </c>
      <c r="B17" s="11" t="inlineStr">
        <is>
          <t>Architecture &amp; Repository</t>
        </is>
      </c>
      <c r="C17" s="6" t="inlineStr">
        <is>
          <t>Define sprint milestone tagging strategy</t>
        </is>
      </c>
      <c r="D17" s="6" t="inlineStr">
        <is>
          <t>Define sprint-0, sprint-1 and final-release tags.</t>
        </is>
      </c>
      <c r="E17" s="12" t="inlineStr">
        <is>
          <t>Medium</t>
        </is>
      </c>
      <c r="F17" s="8" t="inlineStr">
        <is>
          <t>Sprint 0</t>
        </is>
      </c>
      <c r="G17" s="6" t="n">
        <v>2</v>
      </c>
      <c r="H17" s="6" t="inlineStr">
        <is>
          <t>Tagging strategy documented and used at sprint milestones.</t>
        </is>
      </c>
      <c r="I17" s="6" t="inlineStr">
        <is>
          <t>PB-010</t>
        </is>
      </c>
      <c r="J17" s="13" t="inlineStr">
        <is>
          <t>Not Started</t>
        </is>
      </c>
      <c r="K17" s="6" t="inlineStr"/>
    </row>
    <row r="18">
      <c r="A18" s="4" t="inlineStr">
        <is>
          <t>PB-014</t>
        </is>
      </c>
      <c r="B18" s="14" t="inlineStr">
        <is>
          <t>Source Discovery</t>
        </is>
      </c>
      <c r="C18" s="6" t="inlineStr">
        <is>
          <t>Identify Flight Operations data source</t>
        </is>
      </c>
      <c r="D18" s="6" t="inlineStr">
        <is>
          <t>Catalog Flight Operations source data.</t>
        </is>
      </c>
      <c r="E18" s="7" t="inlineStr">
        <is>
          <t>High</t>
        </is>
      </c>
      <c r="F18" s="15" t="inlineStr">
        <is>
          <t>Sprint 1</t>
        </is>
      </c>
      <c r="G18" s="6" t="n">
        <v>2</v>
      </c>
      <c r="H18" s="6" t="inlineStr">
        <is>
          <t>Source, format, entity, owner, ingestion method and target are recorded.</t>
        </is>
      </c>
      <c r="I18" s="6" t="inlineStr">
        <is>
          <t>PB-007</t>
        </is>
      </c>
      <c r="J18" s="9" t="inlineStr">
        <is>
          <t>Completed</t>
        </is>
      </c>
      <c r="K18" s="6" t="inlineStr"/>
    </row>
    <row r="19">
      <c r="A19" s="4" t="inlineStr">
        <is>
          <t>PB-015</t>
        </is>
      </c>
      <c r="B19" s="14" t="inlineStr">
        <is>
          <t>Source Discovery</t>
        </is>
      </c>
      <c r="C19" s="6" t="inlineStr">
        <is>
          <t>Identify Passenger Reservation data source</t>
        </is>
      </c>
      <c r="D19" s="6" t="inlineStr">
        <is>
          <t>Catalog Passenger Reservation System source data.</t>
        </is>
      </c>
      <c r="E19" s="7" t="inlineStr">
        <is>
          <t>High</t>
        </is>
      </c>
      <c r="F19" s="15" t="inlineStr">
        <is>
          <t>Sprint 1</t>
        </is>
      </c>
      <c r="G19" s="6" t="n">
        <v>2</v>
      </c>
      <c r="H19" s="6" t="inlineStr">
        <is>
          <t>Source, format, entity, owner, ingestion method and target are recorded.</t>
        </is>
      </c>
      <c r="I19" s="6" t="inlineStr">
        <is>
          <t>PB-007</t>
        </is>
      </c>
      <c r="J19" s="9" t="inlineStr">
        <is>
          <t>Completed</t>
        </is>
      </c>
      <c r="K19" s="6" t="inlineStr"/>
    </row>
    <row r="20">
      <c r="A20" s="4" t="inlineStr">
        <is>
          <t>PB-016</t>
        </is>
      </c>
      <c r="B20" s="14" t="inlineStr">
        <is>
          <t>Source Discovery</t>
        </is>
      </c>
      <c r="C20" s="6" t="inlineStr">
        <is>
          <t>Identify Airport Operations data source</t>
        </is>
      </c>
      <c r="D20" s="6" t="inlineStr">
        <is>
          <t>Catalog Airport Operations source data.</t>
        </is>
      </c>
      <c r="E20" s="7" t="inlineStr">
        <is>
          <t>High</t>
        </is>
      </c>
      <c r="F20" s="15" t="inlineStr">
        <is>
          <t>Sprint 1</t>
        </is>
      </c>
      <c r="G20" s="6" t="n">
        <v>2</v>
      </c>
      <c r="H20" s="6" t="inlineStr">
        <is>
          <t>Source, format, entity, owner, ingestion method and target are recorded.</t>
        </is>
      </c>
      <c r="I20" s="6" t="inlineStr">
        <is>
          <t>PB-007</t>
        </is>
      </c>
      <c r="J20" s="9" t="inlineStr">
        <is>
          <t>Completed</t>
        </is>
      </c>
      <c r="K20" s="6" t="inlineStr"/>
    </row>
    <row r="21">
      <c r="A21" s="4" t="inlineStr">
        <is>
          <t>PB-017</t>
        </is>
      </c>
      <c r="B21" s="14" t="inlineStr">
        <is>
          <t>Source Discovery</t>
        </is>
      </c>
      <c r="C21" s="6" t="inlineStr">
        <is>
          <t>Identify Baggage Handling data source</t>
        </is>
      </c>
      <c r="D21" s="6" t="inlineStr">
        <is>
          <t>Catalog Baggage Handling source data.</t>
        </is>
      </c>
      <c r="E21" s="7" t="inlineStr">
        <is>
          <t>High</t>
        </is>
      </c>
      <c r="F21" s="15" t="inlineStr">
        <is>
          <t>Sprint 1</t>
        </is>
      </c>
      <c r="G21" s="6" t="n">
        <v>2</v>
      </c>
      <c r="H21" s="6" t="inlineStr">
        <is>
          <t>Source, format, entity, owner, ingestion method and target are recorded.</t>
        </is>
      </c>
      <c r="I21" s="6" t="inlineStr">
        <is>
          <t>PB-007</t>
        </is>
      </c>
      <c r="J21" s="9" t="inlineStr">
        <is>
          <t>Completed</t>
        </is>
      </c>
      <c r="K21" s="6" t="inlineStr"/>
    </row>
    <row r="22">
      <c r="A22" s="4" t="inlineStr">
        <is>
          <t>PB-018</t>
        </is>
      </c>
      <c r="B22" s="14" t="inlineStr">
        <is>
          <t>Source Discovery</t>
        </is>
      </c>
      <c r="C22" s="6" t="inlineStr">
        <is>
          <t>Identify Aircraft Maintenance data source</t>
        </is>
      </c>
      <c r="D22" s="6" t="inlineStr">
        <is>
          <t>Catalog Aircraft Maintenance source data.</t>
        </is>
      </c>
      <c r="E22" s="7" t="inlineStr">
        <is>
          <t>High</t>
        </is>
      </c>
      <c r="F22" s="15" t="inlineStr">
        <is>
          <t>Sprint 1</t>
        </is>
      </c>
      <c r="G22" s="6" t="n">
        <v>2</v>
      </c>
      <c r="H22" s="6" t="inlineStr">
        <is>
          <t>Source, format, entity, owner, ingestion method and target are recorded.</t>
        </is>
      </c>
      <c r="I22" s="6" t="inlineStr">
        <is>
          <t>PB-007</t>
        </is>
      </c>
      <c r="J22" s="9" t="inlineStr">
        <is>
          <t>Completed</t>
        </is>
      </c>
      <c r="K22" s="6" t="inlineStr"/>
    </row>
    <row r="23">
      <c r="A23" s="4" t="inlineStr">
        <is>
          <t>PB-019</t>
        </is>
      </c>
      <c r="B23" s="14" t="inlineStr">
        <is>
          <t>Source Discovery</t>
        </is>
      </c>
      <c r="C23" s="6" t="inlineStr">
        <is>
          <t>Identify Crew Scheduling data source</t>
        </is>
      </c>
      <c r="D23" s="6" t="inlineStr">
        <is>
          <t>Catalog Crew Scheduling source data.</t>
        </is>
      </c>
      <c r="E23" s="7" t="inlineStr">
        <is>
          <t>High</t>
        </is>
      </c>
      <c r="F23" s="15" t="inlineStr">
        <is>
          <t>Sprint 1</t>
        </is>
      </c>
      <c r="G23" s="6" t="n">
        <v>2</v>
      </c>
      <c r="H23" s="6" t="inlineStr">
        <is>
          <t>Source, format, entity, owner, ingestion method and target are recorded.</t>
        </is>
      </c>
      <c r="I23" s="6" t="inlineStr">
        <is>
          <t>PB-007</t>
        </is>
      </c>
      <c r="J23" s="9" t="inlineStr">
        <is>
          <t>Completed</t>
        </is>
      </c>
      <c r="K23" s="6" t="inlineStr"/>
    </row>
    <row r="24">
      <c r="A24" s="4" t="inlineStr">
        <is>
          <t>PB-020</t>
        </is>
      </c>
      <c r="B24" s="14" t="inlineStr">
        <is>
          <t>Source Discovery</t>
        </is>
      </c>
      <c r="C24" s="6" t="inlineStr">
        <is>
          <t>Identify Ticketing and Booking data source</t>
        </is>
      </c>
      <c r="D24" s="6" t="inlineStr">
        <is>
          <t>Catalog Ticketing and Booking source data.</t>
        </is>
      </c>
      <c r="E24" s="7" t="inlineStr">
        <is>
          <t>High</t>
        </is>
      </c>
      <c r="F24" s="15" t="inlineStr">
        <is>
          <t>Sprint 1</t>
        </is>
      </c>
      <c r="G24" s="6" t="n">
        <v>2</v>
      </c>
      <c r="H24" s="6" t="inlineStr">
        <is>
          <t>Source, format, entity, owner, ingestion method and target are recorded.</t>
        </is>
      </c>
      <c r="I24" s="6" t="inlineStr">
        <is>
          <t>PB-007</t>
        </is>
      </c>
      <c r="J24" s="9" t="inlineStr">
        <is>
          <t>Completed</t>
        </is>
      </c>
      <c r="K24" s="6" t="inlineStr"/>
    </row>
    <row r="25">
      <c r="A25" s="4" t="inlineStr">
        <is>
          <t>PB-021</t>
        </is>
      </c>
      <c r="B25" s="14" t="inlineStr">
        <is>
          <t>Source Discovery</t>
        </is>
      </c>
      <c r="C25" s="6" t="inlineStr">
        <is>
          <t>Identify CRM data source</t>
        </is>
      </c>
      <c r="D25" s="6" t="inlineStr">
        <is>
          <t>Catalog CRM source data.</t>
        </is>
      </c>
      <c r="E25" s="7" t="inlineStr">
        <is>
          <t>High</t>
        </is>
      </c>
      <c r="F25" s="15" t="inlineStr">
        <is>
          <t>Sprint 1</t>
        </is>
      </c>
      <c r="G25" s="6" t="n">
        <v>2</v>
      </c>
      <c r="H25" s="6" t="inlineStr">
        <is>
          <t>Source, format, entity, owner, ingestion method and target are recorded.</t>
        </is>
      </c>
      <c r="I25" s="6" t="inlineStr">
        <is>
          <t>PB-007</t>
        </is>
      </c>
      <c r="J25" s="9" t="inlineStr">
        <is>
          <t>Completed</t>
        </is>
      </c>
      <c r="K25" s="6" t="inlineStr"/>
    </row>
    <row r="26">
      <c r="A26" s="4" t="inlineStr">
        <is>
          <t>PB-022</t>
        </is>
      </c>
      <c r="B26" s="14" t="inlineStr">
        <is>
          <t>Source Discovery</t>
        </is>
      </c>
      <c r="C26" s="6" t="inlineStr">
        <is>
          <t>Identify Flight Delay data source</t>
        </is>
      </c>
      <c r="D26" s="6" t="inlineStr">
        <is>
          <t>Catalog Flight Delay source data.</t>
        </is>
      </c>
      <c r="E26" s="7" t="inlineStr">
        <is>
          <t>High</t>
        </is>
      </c>
      <c r="F26" s="15" t="inlineStr">
        <is>
          <t>Sprint 1</t>
        </is>
      </c>
      <c r="G26" s="6" t="n">
        <v>2</v>
      </c>
      <c r="H26" s="6" t="inlineStr">
        <is>
          <t>Source, format, entity, owner, ingestion method and target are recorded.</t>
        </is>
      </c>
      <c r="I26" s="6" t="inlineStr">
        <is>
          <t>PB-007</t>
        </is>
      </c>
      <c r="J26" s="9" t="inlineStr">
        <is>
          <t>Completed</t>
        </is>
      </c>
      <c r="K26" s="6" t="inlineStr"/>
    </row>
    <row r="27">
      <c r="A27" s="4" t="inlineStr">
        <is>
          <t>PB-023</t>
        </is>
      </c>
      <c r="B27" s="14" t="inlineStr">
        <is>
          <t>Source Discovery</t>
        </is>
      </c>
      <c r="C27" s="6" t="inlineStr">
        <is>
          <t>Identify Aircraft IoT data source</t>
        </is>
      </c>
      <c r="D27" s="6" t="inlineStr">
        <is>
          <t>Catalog Aircraft IoT source data.</t>
        </is>
      </c>
      <c r="E27" s="7" t="inlineStr">
        <is>
          <t>High</t>
        </is>
      </c>
      <c r="F27" s="15" t="inlineStr">
        <is>
          <t>Sprint 1</t>
        </is>
      </c>
      <c r="G27" s="6" t="n">
        <v>2</v>
      </c>
      <c r="H27" s="6" t="inlineStr">
        <is>
          <t>Source, format, entity, owner, ingestion method and target are recorded.</t>
        </is>
      </c>
      <c r="I27" s="6" t="inlineStr">
        <is>
          <t>PB-007</t>
        </is>
      </c>
      <c r="J27" s="9" t="inlineStr">
        <is>
          <t>Completed</t>
        </is>
      </c>
      <c r="K27" s="6" t="inlineStr"/>
    </row>
    <row r="28">
      <c r="A28" s="4" t="inlineStr">
        <is>
          <t>PB-024</t>
        </is>
      </c>
      <c r="B28" s="14" t="inlineStr">
        <is>
          <t>Source Discovery</t>
        </is>
      </c>
      <c r="C28" s="6" t="inlineStr">
        <is>
          <t>Prepare Source Inventory</t>
        </is>
      </c>
      <c r="D28" s="6" t="inlineStr">
        <is>
          <t>Create a consolidated source inventory for all identified airline systems.</t>
        </is>
      </c>
      <c r="E28" s="7" t="inlineStr">
        <is>
          <t>High</t>
        </is>
      </c>
      <c r="F28" s="15" t="inlineStr">
        <is>
          <t>Sprint 1</t>
        </is>
      </c>
      <c r="G28" s="6" t="n">
        <v>5</v>
      </c>
      <c r="H28" s="6" t="inlineStr">
        <is>
          <t>All identified sources include format, business area, ingestion method, target layer/table and ownership.</t>
        </is>
      </c>
      <c r="I28" s="6" t="inlineStr">
        <is>
          <t>PB-014; PB-015; PB-016; PB-017; PB-018; PB-019; PB-020; PB-021; PB-022; PB-023</t>
        </is>
      </c>
      <c r="J28" s="13" t="inlineStr">
        <is>
          <t>Not Started</t>
        </is>
      </c>
      <c r="K28" s="6" t="inlineStr"/>
    </row>
    <row r="29">
      <c r="A29" s="4" t="inlineStr">
        <is>
          <t>PB-025</t>
        </is>
      </c>
      <c r="B29" s="14" t="inlineStr">
        <is>
          <t>Source Discovery</t>
        </is>
      </c>
      <c r="C29" s="6" t="inlineStr">
        <is>
          <t>Prepare Data Dictionary</t>
        </is>
      </c>
      <c r="D29" s="6" t="inlineStr">
        <is>
          <t>Define source fields, types, business definitions, nullability, keys, targets and transformation rules.</t>
        </is>
      </c>
      <c r="E29" s="7" t="inlineStr">
        <is>
          <t>High</t>
        </is>
      </c>
      <c r="F29" s="15" t="inlineStr">
        <is>
          <t>Sprint 1</t>
        </is>
      </c>
      <c r="G29" s="6" t="n">
        <v>5</v>
      </c>
      <c r="H29" s="6" t="inlineStr">
        <is>
          <t>Dictionary covers source and target fields for ingested datasets.</t>
        </is>
      </c>
      <c r="I29" s="6" t="inlineStr">
        <is>
          <t>PB-024</t>
        </is>
      </c>
      <c r="J29" s="13" t="inlineStr">
        <is>
          <t>Not Started</t>
        </is>
      </c>
      <c r="K29" s="6" t="inlineStr"/>
    </row>
    <row r="30">
      <c r="A30" s="4" t="inlineStr">
        <is>
          <t>PB-026</t>
        </is>
      </c>
      <c r="B30" s="16" t="inlineStr">
        <is>
          <t>Data Ingestion</t>
        </is>
      </c>
      <c r="C30" s="6" t="inlineStr">
        <is>
          <t>Design ingestion framework</t>
        </is>
      </c>
      <c r="D30" s="6" t="inlineStr">
        <is>
          <t>Define common ingestion pattern for CSV, Excel, JSON, XML and SQL sources.</t>
        </is>
      </c>
      <c r="E30" s="7" t="inlineStr">
        <is>
          <t>High</t>
        </is>
      </c>
      <c r="F30" s="15" t="inlineStr">
        <is>
          <t>Sprint 1</t>
        </is>
      </c>
      <c r="G30" s="6" t="n">
        <v>3</v>
      </c>
      <c r="H30" s="6" t="inlineStr">
        <is>
          <t>Framework defines extract, validate, transform, load, logging and exception handling.</t>
        </is>
      </c>
      <c r="I30" s="6" t="inlineStr">
        <is>
          <t>PB-024; PB-025</t>
        </is>
      </c>
      <c r="J30" s="13" t="inlineStr">
        <is>
          <t>Not Started</t>
        </is>
      </c>
      <c r="K30" s="6" t="inlineStr"/>
    </row>
    <row r="31">
      <c r="A31" s="4" t="inlineStr">
        <is>
          <t>PB-027</t>
        </is>
      </c>
      <c r="B31" s="16" t="inlineStr">
        <is>
          <t>Data Ingestion</t>
        </is>
      </c>
      <c r="C31" s="6" t="inlineStr">
        <is>
          <t>Implement CSV ingestion</t>
        </is>
      </c>
      <c r="D31" s="6" t="inlineStr">
        <is>
          <t>Build Pentaho transformations for CSV datasets.</t>
        </is>
      </c>
      <c r="E31" s="7" t="inlineStr">
        <is>
          <t>High</t>
        </is>
      </c>
      <c r="F31" s="15" t="inlineStr">
        <is>
          <t>Sprint 1</t>
        </is>
      </c>
      <c r="G31" s="6" t="n">
        <v>5</v>
      </c>
      <c r="H31" s="6" t="inlineStr">
        <is>
          <t>CSV sources load successfully into PostgreSQL staging with mapping and validation.</t>
        </is>
      </c>
      <c r="I31" s="6" t="inlineStr">
        <is>
          <t>PB-026</t>
        </is>
      </c>
      <c r="J31" s="13" t="inlineStr">
        <is>
          <t>Not Started</t>
        </is>
      </c>
      <c r="K31" s="6" t="inlineStr"/>
    </row>
    <row r="32">
      <c r="A32" s="4" t="inlineStr">
        <is>
          <t>PB-028</t>
        </is>
      </c>
      <c r="B32" s="16" t="inlineStr">
        <is>
          <t>Data Ingestion</t>
        </is>
      </c>
      <c r="C32" s="6" t="inlineStr">
        <is>
          <t>Implement Excel ingestion</t>
        </is>
      </c>
      <c r="D32" s="6" t="inlineStr">
        <is>
          <t>Build Pentaho transformations for Excel datasets.</t>
        </is>
      </c>
      <c r="E32" s="7" t="inlineStr">
        <is>
          <t>High</t>
        </is>
      </c>
      <c r="F32" s="15" t="inlineStr">
        <is>
          <t>Sprint 1</t>
        </is>
      </c>
      <c r="G32" s="6" t="n">
        <v>5</v>
      </c>
      <c r="H32" s="6" t="inlineStr">
        <is>
          <t>Excel sources load successfully into PostgreSQL staging with mapping and validation.</t>
        </is>
      </c>
      <c r="I32" s="6" t="inlineStr">
        <is>
          <t>PB-026</t>
        </is>
      </c>
      <c r="J32" s="13" t="inlineStr">
        <is>
          <t>Not Started</t>
        </is>
      </c>
      <c r="K32" s="6" t="inlineStr"/>
    </row>
    <row r="33">
      <c r="A33" s="4" t="inlineStr">
        <is>
          <t>PB-029</t>
        </is>
      </c>
      <c r="B33" s="16" t="inlineStr">
        <is>
          <t>Data Ingestion</t>
        </is>
      </c>
      <c r="C33" s="6" t="inlineStr">
        <is>
          <t>Implement JSON ingestion</t>
        </is>
      </c>
      <c r="D33" s="6" t="inlineStr">
        <is>
          <t>Build Pentaho transformations for JSON datasets.</t>
        </is>
      </c>
      <c r="E33" s="7" t="inlineStr">
        <is>
          <t>High</t>
        </is>
      </c>
      <c r="F33" s="15" t="inlineStr">
        <is>
          <t>Sprint 1</t>
        </is>
      </c>
      <c r="G33" s="6" t="n">
        <v>5</v>
      </c>
      <c r="H33" s="6" t="inlineStr">
        <is>
          <t>JSON sources load successfully into PostgreSQL staging with mapping and validation.</t>
        </is>
      </c>
      <c r="I33" s="6" t="inlineStr">
        <is>
          <t>PB-026</t>
        </is>
      </c>
      <c r="J33" s="13" t="inlineStr">
        <is>
          <t>Not Started</t>
        </is>
      </c>
      <c r="K33" s="6" t="inlineStr"/>
    </row>
    <row r="34">
      <c r="A34" s="4" t="inlineStr">
        <is>
          <t>PB-030</t>
        </is>
      </c>
      <c r="B34" s="16" t="inlineStr">
        <is>
          <t>Data Ingestion</t>
        </is>
      </c>
      <c r="C34" s="6" t="inlineStr">
        <is>
          <t>Implement XML ingestion</t>
        </is>
      </c>
      <c r="D34" s="6" t="inlineStr">
        <is>
          <t>Build Pentaho transformations for XML data.</t>
        </is>
      </c>
      <c r="E34" s="7" t="inlineStr">
        <is>
          <t>High</t>
        </is>
      </c>
      <c r="F34" s="15" t="inlineStr">
        <is>
          <t>Sprint 1</t>
        </is>
      </c>
      <c r="G34" s="6" t="n">
        <v>5</v>
      </c>
      <c r="H34" s="6" t="inlineStr">
        <is>
          <t>XML source loads successfully into PostgreSQL staging with mapping and validation.</t>
        </is>
      </c>
      <c r="I34" s="6" t="inlineStr">
        <is>
          <t>PB-026</t>
        </is>
      </c>
      <c r="J34" s="13" t="inlineStr">
        <is>
          <t>Not Started</t>
        </is>
      </c>
      <c r="K34" s="6" t="inlineStr"/>
    </row>
    <row r="35">
      <c r="A35" s="4" t="inlineStr">
        <is>
          <t>PB-031</t>
        </is>
      </c>
      <c r="B35" s="16" t="inlineStr">
        <is>
          <t>Data Ingestion</t>
        </is>
      </c>
      <c r="C35" s="6" t="inlineStr">
        <is>
          <t>Implement SQL ingestion</t>
        </is>
      </c>
      <c r="D35" s="6" t="inlineStr">
        <is>
          <t>Build Pentaho transformation for SQL/relational source data.</t>
        </is>
      </c>
      <c r="E35" s="7" t="inlineStr">
        <is>
          <t>High</t>
        </is>
      </c>
      <c r="F35" s="15" t="inlineStr">
        <is>
          <t>Sprint 1</t>
        </is>
      </c>
      <c r="G35" s="6" t="n">
        <v>5</v>
      </c>
      <c r="H35" s="6" t="inlineStr">
        <is>
          <t>SQL source is extracted and loaded into PostgreSQL staging with validation.</t>
        </is>
      </c>
      <c r="I35" s="6" t="inlineStr">
        <is>
          <t>PB-026</t>
        </is>
      </c>
      <c r="J35" s="13" t="inlineStr">
        <is>
          <t>Not Started</t>
        </is>
      </c>
      <c r="K35" s="6" t="inlineStr"/>
    </row>
    <row r="36">
      <c r="A36" s="4" t="inlineStr">
        <is>
          <t>PB-032</t>
        </is>
      </c>
      <c r="B36" s="16" t="inlineStr">
        <is>
          <t>Data Ingestion</t>
        </is>
      </c>
      <c r="C36" s="6" t="inlineStr">
        <is>
          <t>Implement PostgreSQL staging tables</t>
        </is>
      </c>
      <c r="D36" s="6" t="inlineStr">
        <is>
          <t>Create staging schema and source-aligned staging tables.</t>
        </is>
      </c>
      <c r="E36" s="7" t="inlineStr">
        <is>
          <t>High</t>
        </is>
      </c>
      <c r="F36" s="15" t="inlineStr">
        <is>
          <t>Sprint 1</t>
        </is>
      </c>
      <c r="G36" s="6" t="n">
        <v>5</v>
      </c>
      <c r="H36" s="6" t="inlineStr">
        <is>
          <t>Staging tables exist with correct data types, keys where applicable and audit columns as designed.</t>
        </is>
      </c>
      <c r="I36" s="6" t="inlineStr">
        <is>
          <t>PB-025</t>
        </is>
      </c>
      <c r="J36" s="13" t="inlineStr">
        <is>
          <t>Not Started</t>
        </is>
      </c>
      <c r="K36" s="6" t="inlineStr"/>
    </row>
    <row r="37">
      <c r="A37" s="4" t="inlineStr">
        <is>
          <t>PB-033</t>
        </is>
      </c>
      <c r="B37" s="16" t="inlineStr">
        <is>
          <t>Data Ingestion</t>
        </is>
      </c>
      <c r="C37" s="6" t="inlineStr">
        <is>
          <t>Implement ingestion logging</t>
        </is>
      </c>
      <c r="D37" s="6" t="inlineStr">
        <is>
          <t>Capture pipeline start/end, source, records read, loaded, rejected, errors and status.</t>
        </is>
      </c>
      <c r="E37" s="7" t="inlineStr">
        <is>
          <t>High</t>
        </is>
      </c>
      <c r="F37" s="15" t="inlineStr">
        <is>
          <t>Sprint 1</t>
        </is>
      </c>
      <c r="G37" s="6" t="n">
        <v>3</v>
      </c>
      <c r="H37" s="6" t="inlineStr">
        <is>
          <t>Successful and failed pipeline executions generate useful operational logs.</t>
        </is>
      </c>
      <c r="I37" s="6" t="inlineStr">
        <is>
          <t>PB-026</t>
        </is>
      </c>
      <c r="J37" s="13" t="inlineStr">
        <is>
          <t>Not Started</t>
        </is>
      </c>
      <c r="K37" s="6" t="inlineStr"/>
    </row>
    <row r="38">
      <c r="A38" s="4" t="inlineStr">
        <is>
          <t>PB-034</t>
        </is>
      </c>
      <c r="B38" s="16" t="inlineStr">
        <is>
          <t>Data Ingestion</t>
        </is>
      </c>
      <c r="C38" s="6" t="inlineStr">
        <is>
          <t>Implement exception handling</t>
        </is>
      </c>
      <c r="D38" s="6" t="inlineStr">
        <is>
          <t>Handle invalid records and pipeline failures without silently losing errors.</t>
        </is>
      </c>
      <c r="E38" s="7" t="inlineStr">
        <is>
          <t>High</t>
        </is>
      </c>
      <c r="F38" s="15" t="inlineStr">
        <is>
          <t>Sprint 1</t>
        </is>
      </c>
      <c r="G38" s="6" t="n">
        <v>3</v>
      </c>
      <c r="H38" s="6" t="inlineStr">
        <is>
          <t>Exceptions are captured, rejected records are traceable and pipeline status is visible.</t>
        </is>
      </c>
      <c r="I38" s="6" t="inlineStr">
        <is>
          <t>PB-026</t>
        </is>
      </c>
      <c r="J38" s="13" t="inlineStr">
        <is>
          <t>Not Started</t>
        </is>
      </c>
      <c r="K38" s="6" t="inlineStr"/>
    </row>
    <row r="39">
      <c r="A39" s="4" t="inlineStr">
        <is>
          <t>PB-035</t>
        </is>
      </c>
      <c r="B39" s="16" t="inlineStr">
        <is>
          <t>Data Ingestion</t>
        </is>
      </c>
      <c r="C39" s="6" t="inlineStr">
        <is>
          <t>Validate ingested records</t>
        </is>
      </c>
      <c r="D39" s="6" t="inlineStr">
        <is>
          <t>Perform row count, null, duplicate, datatype and key validation after ingestion.</t>
        </is>
      </c>
      <c r="E39" s="7" t="inlineStr">
        <is>
          <t>High</t>
        </is>
      </c>
      <c r="F39" s="15" t="inlineStr">
        <is>
          <t>Sprint 1</t>
        </is>
      </c>
      <c r="G39" s="6" t="n">
        <v>5</v>
      </c>
      <c r="H39" s="6" t="inlineStr">
        <is>
          <t>Validation checks pass or failures are documented and traceable.</t>
        </is>
      </c>
      <c r="I39" s="6" t="inlineStr">
        <is>
          <t>PB-027; PB-028; PB-029; PB-030; PB-031; PB-032</t>
        </is>
      </c>
      <c r="J39" s="13" t="inlineStr">
        <is>
          <t>Not Started</t>
        </is>
      </c>
      <c r="K39" s="6" t="inlineStr"/>
    </row>
    <row r="40">
      <c r="A40" s="4" t="inlineStr">
        <is>
          <t>PB-036</t>
        </is>
      </c>
      <c r="B40" s="17" t="inlineStr">
        <is>
          <t>Data Profiling &amp; Quality</t>
        </is>
      </c>
      <c r="C40" s="6" t="inlineStr">
        <is>
          <t>Profile aviation datasets using Python/Pandas</t>
        </is>
      </c>
      <c r="D40" s="6" t="inlineStr">
        <is>
          <t>Generate structural and statistical profiles of source/staging datasets.</t>
        </is>
      </c>
      <c r="E40" s="7" t="inlineStr">
        <is>
          <t>High</t>
        </is>
      </c>
      <c r="F40" s="9" t="inlineStr">
        <is>
          <t>Sprint 2</t>
        </is>
      </c>
      <c r="G40" s="6" t="n">
        <v>5</v>
      </c>
      <c r="H40" s="6" t="inlineStr">
        <is>
          <t>Profiles include schema, missingness, distributions and basic quality indicators.</t>
        </is>
      </c>
      <c r="I40" s="6" t="inlineStr">
        <is>
          <t>PB-035</t>
        </is>
      </c>
      <c r="J40" s="13" t="inlineStr">
        <is>
          <t>Not Started</t>
        </is>
      </c>
      <c r="K40" s="6" t="inlineStr"/>
    </row>
    <row r="41">
      <c r="A41" s="4" t="inlineStr">
        <is>
          <t>PB-037</t>
        </is>
      </c>
      <c r="B41" s="17" t="inlineStr">
        <is>
          <t>Data Profiling &amp; Quality</t>
        </is>
      </c>
      <c r="C41" s="6" t="inlineStr">
        <is>
          <t>Analyze missing values</t>
        </is>
      </c>
      <c r="D41" s="6" t="inlineStr">
        <is>
          <t>Identify and report missing values in critical fields.</t>
        </is>
      </c>
      <c r="E41" s="7" t="inlineStr">
        <is>
          <t>High</t>
        </is>
      </c>
      <c r="F41" s="9" t="inlineStr">
        <is>
          <t>Sprint 2</t>
        </is>
      </c>
      <c r="G41" s="6" t="n">
        <v>3</v>
      </c>
      <c r="H41" s="6" t="inlineStr">
        <is>
          <t>Missingness is quantified by dataset and critical field.</t>
        </is>
      </c>
      <c r="I41" s="6" t="inlineStr">
        <is>
          <t>PB-036</t>
        </is>
      </c>
      <c r="J41" s="13" t="inlineStr">
        <is>
          <t>Not Started</t>
        </is>
      </c>
      <c r="K41" s="6" t="inlineStr"/>
    </row>
    <row r="42">
      <c r="A42" s="4" t="inlineStr">
        <is>
          <t>PB-038</t>
        </is>
      </c>
      <c r="B42" s="17" t="inlineStr">
        <is>
          <t>Data Profiling &amp; Quality</t>
        </is>
      </c>
      <c r="C42" s="6" t="inlineStr">
        <is>
          <t>Identify duplicate passenger records</t>
        </is>
      </c>
      <c r="D42" s="6" t="inlineStr">
        <is>
          <t>Detect duplicate passenger records and document rules.</t>
        </is>
      </c>
      <c r="E42" s="7" t="inlineStr">
        <is>
          <t>High</t>
        </is>
      </c>
      <c r="F42" s="9" t="inlineStr">
        <is>
          <t>Sprint 2</t>
        </is>
      </c>
      <c r="G42" s="6" t="n">
        <v>3</v>
      </c>
      <c r="H42" s="6" t="inlineStr">
        <is>
          <t>Duplicate candidates are identified and remediation rules documented.</t>
        </is>
      </c>
      <c r="I42" s="6" t="inlineStr">
        <is>
          <t>PB-036</t>
        </is>
      </c>
      <c r="J42" s="13" t="inlineStr">
        <is>
          <t>Not Started</t>
        </is>
      </c>
      <c r="K42" s="6" t="inlineStr"/>
    </row>
    <row r="43">
      <c r="A43" s="4" t="inlineStr">
        <is>
          <t>PB-039</t>
        </is>
      </c>
      <c r="B43" s="17" t="inlineStr">
        <is>
          <t>Data Profiling &amp; Quality</t>
        </is>
      </c>
      <c r="C43" s="6" t="inlineStr">
        <is>
          <t>Identify flight data inconsistencies</t>
        </is>
      </c>
      <c r="D43" s="6" t="inlineStr">
        <is>
          <t>Detect invalid or inconsistent flight information.</t>
        </is>
      </c>
      <c r="E43" s="7" t="inlineStr">
        <is>
          <t>High</t>
        </is>
      </c>
      <c r="F43" s="9" t="inlineStr">
        <is>
          <t>Sprint 2</t>
        </is>
      </c>
      <c r="G43" s="6" t="n">
        <v>3</v>
      </c>
      <c r="H43" s="6" t="inlineStr">
        <is>
          <t>Flight quality exceptions are identified and documented.</t>
        </is>
      </c>
      <c r="I43" s="6" t="inlineStr">
        <is>
          <t>PB-036</t>
        </is>
      </c>
      <c r="J43" s="13" t="inlineStr">
        <is>
          <t>Not Started</t>
        </is>
      </c>
      <c r="K43" s="6" t="inlineStr"/>
    </row>
    <row r="44">
      <c r="A44" s="4" t="inlineStr">
        <is>
          <t>PB-040</t>
        </is>
      </c>
      <c r="B44" s="17" t="inlineStr">
        <is>
          <t>Data Profiling &amp; Quality</t>
        </is>
      </c>
      <c r="C44" s="6" t="inlineStr">
        <is>
          <t>Analyze baggage data quality</t>
        </is>
      </c>
      <c r="D44" s="6" t="inlineStr">
        <is>
          <t>Profile baggage records for missing, duplicate and inconsistent values.</t>
        </is>
      </c>
      <c r="E44" s="12" t="inlineStr">
        <is>
          <t>Medium</t>
        </is>
      </c>
      <c r="F44" s="9" t="inlineStr">
        <is>
          <t>Sprint 2</t>
        </is>
      </c>
      <c r="G44" s="6" t="n">
        <v>3</v>
      </c>
      <c r="H44" s="6" t="inlineStr">
        <is>
          <t>Baggage quality findings are documented.</t>
        </is>
      </c>
      <c r="I44" s="6" t="inlineStr">
        <is>
          <t>PB-036</t>
        </is>
      </c>
      <c r="J44" s="13" t="inlineStr">
        <is>
          <t>Not Started</t>
        </is>
      </c>
      <c r="K44" s="6" t="inlineStr"/>
    </row>
    <row r="45">
      <c r="A45" s="4" t="inlineStr">
        <is>
          <t>PB-041</t>
        </is>
      </c>
      <c r="B45" s="17" t="inlineStr">
        <is>
          <t>Data Profiling &amp; Quality</t>
        </is>
      </c>
      <c r="C45" s="6" t="inlineStr">
        <is>
          <t>Analyze aircraft maintenance data quality</t>
        </is>
      </c>
      <c r="D45" s="6" t="inlineStr">
        <is>
          <t>Profile maintenance records for data quality issues.</t>
        </is>
      </c>
      <c r="E45" s="7" t="inlineStr">
        <is>
          <t>High</t>
        </is>
      </c>
      <c r="F45" s="9" t="inlineStr">
        <is>
          <t>Sprint 2</t>
        </is>
      </c>
      <c r="G45" s="6" t="n">
        <v>3</v>
      </c>
      <c r="H45" s="6" t="inlineStr">
        <is>
          <t>Maintenance quality findings are documented.</t>
        </is>
      </c>
      <c r="I45" s="6" t="inlineStr">
        <is>
          <t>PB-036</t>
        </is>
      </c>
      <c r="J45" s="13" t="inlineStr">
        <is>
          <t>Not Started</t>
        </is>
      </c>
      <c r="K45" s="6" t="inlineStr"/>
    </row>
    <row r="46">
      <c r="A46" s="4" t="inlineStr">
        <is>
          <t>PB-042</t>
        </is>
      </c>
      <c r="B46" s="17" t="inlineStr">
        <is>
          <t>Data Profiling &amp; Quality</t>
        </is>
      </c>
      <c r="C46" s="6" t="inlineStr">
        <is>
          <t>Standardize master data</t>
        </is>
      </c>
      <c r="D46" s="6" t="inlineStr">
        <is>
          <t>Standardize passenger, airport, aircraft and flight master data.</t>
        </is>
      </c>
      <c r="E46" s="7" t="inlineStr">
        <is>
          <t>High</t>
        </is>
      </c>
      <c r="F46" s="9" t="inlineStr">
        <is>
          <t>Sprint 2</t>
        </is>
      </c>
      <c r="G46" s="6" t="n">
        <v>5</v>
      </c>
      <c r="H46" s="6" t="inlineStr">
        <is>
          <t>Standardization rules are applied consistently and exceptions are tracked.</t>
        </is>
      </c>
      <c r="I46" s="6" t="inlineStr">
        <is>
          <t>PB-037; PB-038; PB-039; PB-041</t>
        </is>
      </c>
      <c r="J46" s="13" t="inlineStr">
        <is>
          <t>Not Started</t>
        </is>
      </c>
      <c r="K46" s="6" t="inlineStr"/>
    </row>
    <row r="47">
      <c r="A47" s="4" t="inlineStr">
        <is>
          <t>PB-043</t>
        </is>
      </c>
      <c r="B47" s="17" t="inlineStr">
        <is>
          <t>Data Profiling &amp; Quality</t>
        </is>
      </c>
      <c r="C47" s="6" t="inlineStr">
        <is>
          <t>Create data quality report</t>
        </is>
      </c>
      <c r="D47" s="6" t="inlineStr">
        <is>
          <t>Summarize profiling results, issues, rules and remediation status.</t>
        </is>
      </c>
      <c r="E47" s="7" t="inlineStr">
        <is>
          <t>High</t>
        </is>
      </c>
      <c r="F47" s="9" t="inlineStr">
        <is>
          <t>Sprint 2</t>
        </is>
      </c>
      <c r="G47" s="6" t="n">
        <v>5</v>
      </c>
      <c r="H47" s="6" t="inlineStr">
        <is>
          <t>Report includes quality dimensions, findings and recommended actions.</t>
        </is>
      </c>
      <c r="I47" s="6" t="inlineStr">
        <is>
          <t>PB-036; PB-037; PB-038; PB-039; PB-040; PB-041</t>
        </is>
      </c>
      <c r="J47" s="13" t="inlineStr">
        <is>
          <t>Not Started</t>
        </is>
      </c>
      <c r="K47" s="6" t="inlineStr"/>
    </row>
    <row r="48">
      <c r="A48" s="4" t="inlineStr">
        <is>
          <t>PB-044</t>
        </is>
      </c>
      <c r="B48" s="18" t="inlineStr">
        <is>
          <t>Data Warehouse</t>
        </is>
      </c>
      <c r="C48" s="6" t="inlineStr">
        <is>
          <t>Design dimensional model</t>
        </is>
      </c>
      <c r="D48" s="6" t="inlineStr">
        <is>
          <t>Design star schema for aviation analytics.</t>
        </is>
      </c>
      <c r="E48" s="7" t="inlineStr">
        <is>
          <t>High</t>
        </is>
      </c>
      <c r="F48" s="9" t="inlineStr">
        <is>
          <t>Sprint 2</t>
        </is>
      </c>
      <c r="G48" s="6" t="n">
        <v>5</v>
      </c>
      <c r="H48" s="6" t="inlineStr">
        <is>
          <t>Fact and dimension relationships support required operational analytics.</t>
        </is>
      </c>
      <c r="I48" s="6" t="inlineStr">
        <is>
          <t>PB-042</t>
        </is>
      </c>
      <c r="J48" s="13" t="inlineStr">
        <is>
          <t>Not Started</t>
        </is>
      </c>
      <c r="K48" s="6" t="inlineStr"/>
    </row>
    <row r="49">
      <c r="A49" s="4" t="inlineStr">
        <is>
          <t>PB-045</t>
        </is>
      </c>
      <c r="B49" s="18" t="inlineStr">
        <is>
          <t>Data Warehouse</t>
        </is>
      </c>
      <c r="C49" s="6" t="inlineStr">
        <is>
          <t>Design fact tables</t>
        </is>
      </c>
      <c r="D49" s="6" t="inlineStr">
        <is>
          <t>Define measurable business events and grain for fact tables.</t>
        </is>
      </c>
      <c r="E49" s="7" t="inlineStr">
        <is>
          <t>High</t>
        </is>
      </c>
      <c r="F49" s="9" t="inlineStr">
        <is>
          <t>Sprint 2</t>
        </is>
      </c>
      <c r="G49" s="6" t="n">
        <v>5</v>
      </c>
      <c r="H49" s="6" t="inlineStr">
        <is>
          <t>Fact table grains, measures and foreign keys are documented.</t>
        </is>
      </c>
      <c r="I49" s="6" t="inlineStr">
        <is>
          <t>PB-044</t>
        </is>
      </c>
      <c r="J49" s="13" t="inlineStr">
        <is>
          <t>Not Started</t>
        </is>
      </c>
      <c r="K49" s="6" t="inlineStr"/>
    </row>
    <row r="50">
      <c r="A50" s="4" t="inlineStr">
        <is>
          <t>PB-046</t>
        </is>
      </c>
      <c r="B50" s="18" t="inlineStr">
        <is>
          <t>Data Warehouse</t>
        </is>
      </c>
      <c r="C50" s="6" t="inlineStr">
        <is>
          <t>Design dimension tables</t>
        </is>
      </c>
      <c r="D50" s="6" t="inlineStr">
        <is>
          <t>Define passenger, airport, aircraft, flight and other required dimensions.</t>
        </is>
      </c>
      <c r="E50" s="7" t="inlineStr">
        <is>
          <t>High</t>
        </is>
      </c>
      <c r="F50" s="9" t="inlineStr">
        <is>
          <t>Sprint 2</t>
        </is>
      </c>
      <c r="G50" s="6" t="n">
        <v>5</v>
      </c>
      <c r="H50" s="6" t="inlineStr">
        <is>
          <t>Dimension attributes, keys and relationships are documented.</t>
        </is>
      </c>
      <c r="I50" s="6" t="inlineStr">
        <is>
          <t>PB-044</t>
        </is>
      </c>
      <c r="J50" s="13" t="inlineStr">
        <is>
          <t>Not Started</t>
        </is>
      </c>
      <c r="K50" s="6" t="inlineStr"/>
    </row>
    <row r="51">
      <c r="A51" s="4" t="inlineStr">
        <is>
          <t>PB-047</t>
        </is>
      </c>
      <c r="B51" s="18" t="inlineStr">
        <is>
          <t>Data Warehouse</t>
        </is>
      </c>
      <c r="C51" s="6" t="inlineStr">
        <is>
          <t>Create PostgreSQL warehouse schema</t>
        </is>
      </c>
      <c r="D51" s="6" t="inlineStr">
        <is>
          <t>Implement warehouse schemas and tables in PostgreSQL.</t>
        </is>
      </c>
      <c r="E51" s="7" t="inlineStr">
        <is>
          <t>High</t>
        </is>
      </c>
      <c r="F51" s="9" t="inlineStr">
        <is>
          <t>Sprint 2</t>
        </is>
      </c>
      <c r="G51" s="6" t="n">
        <v>5</v>
      </c>
      <c r="H51" s="6" t="inlineStr">
        <is>
          <t>Warehouse objects are created successfully in PostgreSQL.</t>
        </is>
      </c>
      <c r="I51" s="6" t="inlineStr">
        <is>
          <t>PB-045; PB-046</t>
        </is>
      </c>
      <c r="J51" s="13" t="inlineStr">
        <is>
          <t>Not Started</t>
        </is>
      </c>
      <c r="K51" s="6" t="inlineStr"/>
    </row>
    <row r="52">
      <c r="A52" s="4" t="inlineStr">
        <is>
          <t>PB-048</t>
        </is>
      </c>
      <c r="B52" s="18" t="inlineStr">
        <is>
          <t>Data Warehouse</t>
        </is>
      </c>
      <c r="C52" s="6" t="inlineStr">
        <is>
          <t>Load dimension tables</t>
        </is>
      </c>
      <c r="D52" s="6" t="inlineStr">
        <is>
          <t>Populate curated dimension tables.</t>
        </is>
      </c>
      <c r="E52" s="7" t="inlineStr">
        <is>
          <t>High</t>
        </is>
      </c>
      <c r="F52" s="9" t="inlineStr">
        <is>
          <t>Sprint 2</t>
        </is>
      </c>
      <c r="G52" s="6" t="n">
        <v>5</v>
      </c>
      <c r="H52" s="6" t="inlineStr">
        <is>
          <t>Dimensions load successfully with valid keys and standardized attributes.</t>
        </is>
      </c>
      <c r="I52" s="6" t="inlineStr">
        <is>
          <t>PB-047</t>
        </is>
      </c>
      <c r="J52" s="13" t="inlineStr">
        <is>
          <t>Not Started</t>
        </is>
      </c>
      <c r="K52" s="6" t="inlineStr"/>
    </row>
    <row r="53">
      <c r="A53" s="4" t="inlineStr">
        <is>
          <t>PB-049</t>
        </is>
      </c>
      <c r="B53" s="18" t="inlineStr">
        <is>
          <t>Data Warehouse</t>
        </is>
      </c>
      <c r="C53" s="6" t="inlineStr">
        <is>
          <t>Load fact tables</t>
        </is>
      </c>
      <c r="D53" s="6" t="inlineStr">
        <is>
          <t>Populate aviation fact tables from curated data.</t>
        </is>
      </c>
      <c r="E53" s="7" t="inlineStr">
        <is>
          <t>High</t>
        </is>
      </c>
      <c r="F53" s="9" t="inlineStr">
        <is>
          <t>Sprint 2</t>
        </is>
      </c>
      <c r="G53" s="6" t="n">
        <v>5</v>
      </c>
      <c r="H53" s="6" t="inlineStr">
        <is>
          <t>Facts load at the defined grain and pass referential checks.</t>
        </is>
      </c>
      <c r="I53" s="6" t="inlineStr">
        <is>
          <t>PB-047; PB-048</t>
        </is>
      </c>
      <c r="J53" s="13" t="inlineStr">
        <is>
          <t>Not Started</t>
        </is>
      </c>
      <c r="K53" s="6" t="inlineStr"/>
    </row>
    <row r="54">
      <c r="A54" s="4" t="inlineStr">
        <is>
          <t>PB-050</t>
        </is>
      </c>
      <c r="B54" s="18" t="inlineStr">
        <is>
          <t>Data Warehouse</t>
        </is>
      </c>
      <c r="C54" s="6" t="inlineStr">
        <is>
          <t>Implement warehouse validation</t>
        </is>
      </c>
      <c r="D54" s="6" t="inlineStr">
        <is>
          <t>Validate row counts, referential integrity and business rules.</t>
        </is>
      </c>
      <c r="E54" s="7" t="inlineStr">
        <is>
          <t>High</t>
        </is>
      </c>
      <c r="F54" s="9" t="inlineStr">
        <is>
          <t>Sprint 2</t>
        </is>
      </c>
      <c r="G54" s="6" t="n">
        <v>3</v>
      </c>
      <c r="H54" s="6" t="inlineStr">
        <is>
          <t>Warehouse validation results are documented.</t>
        </is>
      </c>
      <c r="I54" s="6" t="inlineStr">
        <is>
          <t>PB-048; PB-049</t>
        </is>
      </c>
      <c r="J54" s="13" t="inlineStr">
        <is>
          <t>Not Started</t>
        </is>
      </c>
      <c r="K54" s="6" t="inlineStr"/>
    </row>
    <row r="55">
      <c r="A55" s="4" t="inlineStr">
        <is>
          <t>PB-051</t>
        </is>
      </c>
      <c r="B55" s="18" t="inlineStr">
        <is>
          <t>Data Warehouse</t>
        </is>
      </c>
      <c r="C55" s="6" t="inlineStr">
        <is>
          <t>Create operational SQL queries</t>
        </is>
      </c>
      <c r="D55" s="6" t="inlineStr">
        <is>
          <t>Develop SQL queries for operational reporting.</t>
        </is>
      </c>
      <c r="E55" s="12" t="inlineStr">
        <is>
          <t>Medium</t>
        </is>
      </c>
      <c r="F55" s="9" t="inlineStr">
        <is>
          <t>Sprint 2</t>
        </is>
      </c>
      <c r="G55" s="6" t="n">
        <v>3</v>
      </c>
      <c r="H55" s="6" t="inlineStr">
        <is>
          <t>Queries return validated KPIs and operational insights.</t>
        </is>
      </c>
      <c r="I55" s="6" t="inlineStr">
        <is>
          <t>PB-049</t>
        </is>
      </c>
      <c r="J55" s="13" t="inlineStr">
        <is>
          <t>Not Started</t>
        </is>
      </c>
      <c r="K55" s="6" t="inlineStr"/>
    </row>
    <row r="56">
      <c r="A56" s="4" t="inlineStr">
        <is>
          <t>PB-052</t>
        </is>
      </c>
      <c r="B56" s="19" t="inlineStr">
        <is>
          <t>Governance &amp; Lineage</t>
        </is>
      </c>
      <c r="C56" s="6" t="inlineStr">
        <is>
          <t>Create metadata repository</t>
        </is>
      </c>
      <c r="D56" s="6" t="inlineStr">
        <is>
          <t>Maintain technical and business metadata for platform assets.</t>
        </is>
      </c>
      <c r="E56" s="7" t="inlineStr">
        <is>
          <t>High</t>
        </is>
      </c>
      <c r="F56" s="20" t="inlineStr">
        <is>
          <t>Sprint 3</t>
        </is>
      </c>
      <c r="G56" s="6" t="n">
        <v>5</v>
      </c>
      <c r="H56" s="6" t="inlineStr">
        <is>
          <t>Metadata repository captures source, target, ownership and transformation information.</t>
        </is>
      </c>
      <c r="I56" s="6" t="inlineStr">
        <is>
          <t>PB-025; PB-047</t>
        </is>
      </c>
      <c r="J56" s="13" t="inlineStr">
        <is>
          <t>Not Started</t>
        </is>
      </c>
      <c r="K56" s="6" t="inlineStr"/>
    </row>
    <row r="57">
      <c r="A57" s="4" t="inlineStr">
        <is>
          <t>PB-053</t>
        </is>
      </c>
      <c r="B57" s="19" t="inlineStr">
        <is>
          <t>Governance &amp; Lineage</t>
        </is>
      </c>
      <c r="C57" s="6" t="inlineStr">
        <is>
          <t>Create business glossary</t>
        </is>
      </c>
      <c r="D57" s="6" t="inlineStr">
        <is>
          <t>Define common aviation business terms and KPI terminology.</t>
        </is>
      </c>
      <c r="E57" s="12" t="inlineStr">
        <is>
          <t>Medium</t>
        </is>
      </c>
      <c r="F57" s="20" t="inlineStr">
        <is>
          <t>Sprint 3</t>
        </is>
      </c>
      <c r="G57" s="6" t="n">
        <v>3</v>
      </c>
      <c r="H57" s="6" t="inlineStr">
        <is>
          <t>Business terms have clear definitions and ownership.</t>
        </is>
      </c>
      <c r="I57" s="6" t="inlineStr">
        <is>
          <t>PB-052</t>
        </is>
      </c>
      <c r="J57" s="13" t="inlineStr">
        <is>
          <t>Not Started</t>
        </is>
      </c>
      <c r="K57" s="6" t="inlineStr"/>
    </row>
    <row r="58">
      <c r="A58" s="4" t="inlineStr">
        <is>
          <t>PB-054</t>
        </is>
      </c>
      <c r="B58" s="19" t="inlineStr">
        <is>
          <t>Governance &amp; Lineage</t>
        </is>
      </c>
      <c r="C58" s="6" t="inlineStr">
        <is>
          <t>Create source-to-target mapping</t>
        </is>
      </c>
      <c r="D58" s="6" t="inlineStr">
        <is>
          <t>Document field-level mappings and transformation rules.</t>
        </is>
      </c>
      <c r="E58" s="7" t="inlineStr">
        <is>
          <t>High</t>
        </is>
      </c>
      <c r="F58" s="20" t="inlineStr">
        <is>
          <t>Sprint 3</t>
        </is>
      </c>
      <c r="G58" s="6" t="n">
        <v>5</v>
      </c>
      <c r="H58" s="6" t="inlineStr">
        <is>
          <t>Mappings cover source, staging, curated and warehouse targets.</t>
        </is>
      </c>
      <c r="I58" s="6" t="inlineStr">
        <is>
          <t>PB-025; PB-047</t>
        </is>
      </c>
      <c r="J58" s="13" t="inlineStr">
        <is>
          <t>Not Started</t>
        </is>
      </c>
      <c r="K58" s="6" t="inlineStr"/>
    </row>
    <row r="59">
      <c r="A59" s="4" t="inlineStr">
        <is>
          <t>PB-055</t>
        </is>
      </c>
      <c r="B59" s="19" t="inlineStr">
        <is>
          <t>Governance &amp; Lineage</t>
        </is>
      </c>
      <c r="C59" s="6" t="inlineStr">
        <is>
          <t>Document data lineage</t>
        </is>
      </c>
      <c r="D59" s="6" t="inlineStr">
        <is>
          <t>Document end-to-end source-to-analytics lineage.</t>
        </is>
      </c>
      <c r="E59" s="7" t="inlineStr">
        <is>
          <t>High</t>
        </is>
      </c>
      <c r="F59" s="20" t="inlineStr">
        <is>
          <t>Sprint 3</t>
        </is>
      </c>
      <c r="G59" s="6" t="n">
        <v>5</v>
      </c>
      <c r="H59" s="6" t="inlineStr">
        <is>
          <t>Lineage identifies movement and transformations from source to reporting.</t>
        </is>
      </c>
      <c r="I59" s="6" t="inlineStr">
        <is>
          <t>PB-054</t>
        </is>
      </c>
      <c r="J59" s="13" t="inlineStr">
        <is>
          <t>Not Started</t>
        </is>
      </c>
      <c r="K59" s="6" t="inlineStr"/>
    </row>
    <row r="60">
      <c r="A60" s="4" t="inlineStr">
        <is>
          <t>PB-056</t>
        </is>
      </c>
      <c r="B60" s="19" t="inlineStr">
        <is>
          <t>Governance &amp; Lineage</t>
        </is>
      </c>
      <c r="C60" s="6" t="inlineStr">
        <is>
          <t>Implement data reconciliation</t>
        </is>
      </c>
      <c r="D60" s="6" t="inlineStr">
        <is>
          <t>Reconcile passenger, baggage, flight and maintenance data across layers.</t>
        </is>
      </c>
      <c r="E60" s="7" t="inlineStr">
        <is>
          <t>High</t>
        </is>
      </c>
      <c r="F60" s="20" t="inlineStr">
        <is>
          <t>Sprint 3</t>
        </is>
      </c>
      <c r="G60" s="6" t="n">
        <v>5</v>
      </c>
      <c r="H60" s="6" t="inlineStr">
        <is>
          <t>Reconciliation checks are executed and exceptions documented.</t>
        </is>
      </c>
      <c r="I60" s="6" t="inlineStr">
        <is>
          <t>PB-050; PB-055</t>
        </is>
      </c>
      <c r="J60" s="13" t="inlineStr">
        <is>
          <t>Not Started</t>
        </is>
      </c>
      <c r="K60" s="6" t="inlineStr"/>
    </row>
    <row r="61">
      <c r="A61" s="4" t="inlineStr">
        <is>
          <t>PB-057</t>
        </is>
      </c>
      <c r="B61" s="19" t="inlineStr">
        <is>
          <t>Governance &amp; Lineage</t>
        </is>
      </c>
      <c r="C61" s="6" t="inlineStr">
        <is>
          <t>Document data quality rules</t>
        </is>
      </c>
      <c r="D61" s="6" t="inlineStr">
        <is>
          <t>Document validation and quality rules used across the platform.</t>
        </is>
      </c>
      <c r="E61" s="12" t="inlineStr">
        <is>
          <t>Medium</t>
        </is>
      </c>
      <c r="F61" s="20" t="inlineStr">
        <is>
          <t>Sprint 3</t>
        </is>
      </c>
      <c r="G61" s="6" t="n">
        <v>3</v>
      </c>
      <c r="H61" s="6" t="inlineStr">
        <is>
          <t>Rules are traceable to datasets and validation processes.</t>
        </is>
      </c>
      <c r="I61" s="6" t="inlineStr">
        <is>
          <t>PB-043</t>
        </is>
      </c>
      <c r="J61" s="13" t="inlineStr">
        <is>
          <t>Not Started</t>
        </is>
      </c>
      <c r="K61" s="6" t="inlineStr"/>
    </row>
    <row r="62">
      <c r="A62" s="4" t="inlineStr">
        <is>
          <t>PB-058</t>
        </is>
      </c>
      <c r="B62" s="14" t="inlineStr">
        <is>
          <t>ETL Orchestration</t>
        </is>
      </c>
      <c r="C62" s="6" t="inlineStr">
        <is>
          <t>Create Pentaho transformation structure</t>
        </is>
      </c>
      <c r="D62" s="6" t="inlineStr">
        <is>
          <t>Organize .ktr transformations by source and purpose.</t>
        </is>
      </c>
      <c r="E62" s="7" t="inlineStr">
        <is>
          <t>High</t>
        </is>
      </c>
      <c r="F62" s="15" t="inlineStr">
        <is>
          <t>Sprint 1</t>
        </is>
      </c>
      <c r="G62" s="6" t="n">
        <v>3</v>
      </c>
      <c r="H62" s="6" t="inlineStr">
        <is>
          <t>Transformation directory is organized and naming convention is followed.</t>
        </is>
      </c>
      <c r="I62" s="6" t="inlineStr">
        <is>
          <t>PB-026</t>
        </is>
      </c>
      <c r="J62" s="13" t="inlineStr">
        <is>
          <t>Not Started</t>
        </is>
      </c>
      <c r="K62" s="6" t="inlineStr"/>
    </row>
    <row r="63">
      <c r="A63" s="4" t="inlineStr">
        <is>
          <t>PB-059</t>
        </is>
      </c>
      <c r="B63" s="14" t="inlineStr">
        <is>
          <t>ETL Orchestration</t>
        </is>
      </c>
      <c r="C63" s="6" t="inlineStr">
        <is>
          <t>Create Pentaho job workflows</t>
        </is>
      </c>
      <c r="D63" s="6" t="inlineStr">
        <is>
          <t>Orchestrate transformations using Pentaho jobs.</t>
        </is>
      </c>
      <c r="E63" s="7" t="inlineStr">
        <is>
          <t>High</t>
        </is>
      </c>
      <c r="F63" s="20" t="inlineStr">
        <is>
          <t>Sprint 3</t>
        </is>
      </c>
      <c r="G63" s="6" t="n">
        <v>5</v>
      </c>
      <c r="H63" s="6" t="inlineStr">
        <is>
          <t>Jobs execute required dependencies in the correct sequence.</t>
        </is>
      </c>
      <c r="I63" s="6" t="inlineStr">
        <is>
          <t>PB-033; PB-034</t>
        </is>
      </c>
      <c r="J63" s="13" t="inlineStr">
        <is>
          <t>Not Started</t>
        </is>
      </c>
      <c r="K63" s="6" t="inlineStr"/>
    </row>
    <row r="64">
      <c r="A64" s="4" t="inlineStr">
        <is>
          <t>PB-060</t>
        </is>
      </c>
      <c r="B64" s="14" t="inlineStr">
        <is>
          <t>ETL Orchestration</t>
        </is>
      </c>
      <c r="C64" s="6" t="inlineStr">
        <is>
          <t>Implement job-level logging</t>
        </is>
      </c>
      <c r="D64" s="6" t="inlineStr">
        <is>
          <t>Capture execution status and operational metrics for jobs.</t>
        </is>
      </c>
      <c r="E64" s="7" t="inlineStr">
        <is>
          <t>High</t>
        </is>
      </c>
      <c r="F64" s="20" t="inlineStr">
        <is>
          <t>Sprint 3</t>
        </is>
      </c>
      <c r="G64" s="6" t="n">
        <v>3</v>
      </c>
      <c r="H64" s="6" t="inlineStr">
        <is>
          <t>Job runs provide traceable execution logs.</t>
        </is>
      </c>
      <c r="I64" s="6" t="inlineStr">
        <is>
          <t>PB-059</t>
        </is>
      </c>
      <c r="J64" s="13" t="inlineStr">
        <is>
          <t>Not Started</t>
        </is>
      </c>
      <c r="K64" s="6" t="inlineStr"/>
    </row>
    <row r="65">
      <c r="A65" s="4" t="inlineStr">
        <is>
          <t>PB-061</t>
        </is>
      </c>
      <c r="B65" s="14" t="inlineStr">
        <is>
          <t>ETL Orchestration</t>
        </is>
      </c>
      <c r="C65" s="6" t="inlineStr">
        <is>
          <t>Implement failure handling</t>
        </is>
      </c>
      <c r="D65" s="6" t="inlineStr">
        <is>
          <t>Implement job-level failure and recovery handling.</t>
        </is>
      </c>
      <c r="E65" s="7" t="inlineStr">
        <is>
          <t>High</t>
        </is>
      </c>
      <c r="F65" s="20" t="inlineStr">
        <is>
          <t>Sprint 3</t>
        </is>
      </c>
      <c r="G65" s="6" t="n">
        <v>3</v>
      </c>
      <c r="H65" s="6" t="inlineStr">
        <is>
          <t>Failures are detected, logged and routed for investigation.</t>
        </is>
      </c>
      <c r="I65" s="6" t="inlineStr">
        <is>
          <t>PB-059; PB-060</t>
        </is>
      </c>
      <c r="J65" s="13" t="inlineStr">
        <is>
          <t>Not Started</t>
        </is>
      </c>
      <c r="K65" s="6" t="inlineStr"/>
    </row>
    <row r="66">
      <c r="A66" s="4" t="inlineStr">
        <is>
          <t>PB-062</t>
        </is>
      </c>
      <c r="B66" s="14" t="inlineStr">
        <is>
          <t>ETL Orchestration</t>
        </is>
      </c>
      <c r="C66" s="6" t="inlineStr">
        <is>
          <t>Test complete ETL workflow</t>
        </is>
      </c>
      <c r="D66" s="6" t="inlineStr">
        <is>
          <t>Perform end-to-end ETL integration testing.</t>
        </is>
      </c>
      <c r="E66" s="7" t="inlineStr">
        <is>
          <t>High</t>
        </is>
      </c>
      <c r="F66" s="20" t="inlineStr">
        <is>
          <t>Sprint 3</t>
        </is>
      </c>
      <c r="G66" s="6" t="n">
        <v>5</v>
      </c>
      <c r="H66" s="6" t="inlineStr">
        <is>
          <t>Complete workflow executes successfully and validation results are documented.</t>
        </is>
      </c>
      <c r="I66" s="6" t="inlineStr">
        <is>
          <t>PB-059; PB-061</t>
        </is>
      </c>
      <c r="J66" s="13" t="inlineStr">
        <is>
          <t>Not Started</t>
        </is>
      </c>
      <c r="K66" s="6" t="inlineStr"/>
    </row>
    <row r="67">
      <c r="A67" s="4" t="inlineStr">
        <is>
          <t>PB-063</t>
        </is>
      </c>
      <c r="B67" s="17" t="inlineStr">
        <is>
          <t>Analytics &amp; Dashboards</t>
        </is>
      </c>
      <c r="C67" s="6" t="inlineStr">
        <is>
          <t>Define aviation KPIs</t>
        </is>
      </c>
      <c r="D67" s="6" t="inlineStr">
        <is>
          <t>Define KPIs for flight, passenger, maintenance, baggage and executive analytics.</t>
        </is>
      </c>
      <c r="E67" s="7" t="inlineStr">
        <is>
          <t>High</t>
        </is>
      </c>
      <c r="F67" s="20" t="inlineStr">
        <is>
          <t>Sprint 3</t>
        </is>
      </c>
      <c r="G67" s="6" t="n">
        <v>3</v>
      </c>
      <c r="H67" s="6" t="inlineStr">
        <is>
          <t>KPI definitions, formulas, dimensions and data sources are documented.</t>
        </is>
      </c>
      <c r="I67" s="6" t="inlineStr">
        <is>
          <t>PB-051; PB-053</t>
        </is>
      </c>
      <c r="J67" s="13" t="inlineStr">
        <is>
          <t>Not Started</t>
        </is>
      </c>
      <c r="K67" s="6" t="inlineStr"/>
    </row>
    <row r="68">
      <c r="A68" s="4" t="inlineStr">
        <is>
          <t>PB-064</t>
        </is>
      </c>
      <c r="B68" s="17" t="inlineStr">
        <is>
          <t>Analytics &amp; Dashboards</t>
        </is>
      </c>
      <c r="C68" s="6" t="inlineStr">
        <is>
          <t>Create flight operations dashboard</t>
        </is>
      </c>
      <c r="D68" s="6" t="inlineStr">
        <is>
          <t>Develop dashboard for flight punctuality and delay trends.</t>
        </is>
      </c>
      <c r="E68" s="7" t="inlineStr">
        <is>
          <t>High</t>
        </is>
      </c>
      <c r="F68" s="20" t="inlineStr">
        <is>
          <t>Sprint 3</t>
        </is>
      </c>
      <c r="G68" s="6" t="n">
        <v>5</v>
      </c>
      <c r="H68" s="6" t="inlineStr">
        <is>
          <t>Dashboard supports flight punctuality and delay analysis.</t>
        </is>
      </c>
      <c r="I68" s="6" t="inlineStr">
        <is>
          <t>PB-063</t>
        </is>
      </c>
      <c r="J68" s="13" t="inlineStr">
        <is>
          <t>Not Started</t>
        </is>
      </c>
      <c r="K68" s="6" t="inlineStr"/>
    </row>
    <row r="69">
      <c r="A69" s="4" t="inlineStr">
        <is>
          <t>PB-065</t>
        </is>
      </c>
      <c r="B69" s="17" t="inlineStr">
        <is>
          <t>Analytics &amp; Dashboards</t>
        </is>
      </c>
      <c r="C69" s="6" t="inlineStr">
        <is>
          <t>Create passenger analytics dashboard</t>
        </is>
      </c>
      <c r="D69" s="6" t="inlineStr">
        <is>
          <t>Develop dashboard for passenger booking and travel patterns.</t>
        </is>
      </c>
      <c r="E69" s="7" t="inlineStr">
        <is>
          <t>High</t>
        </is>
      </c>
      <c r="F69" s="20" t="inlineStr">
        <is>
          <t>Sprint 3</t>
        </is>
      </c>
      <c r="G69" s="6" t="n">
        <v>5</v>
      </c>
      <c r="H69" s="6" t="inlineStr">
        <is>
          <t>Dashboard supports passenger booking/travel analysis.</t>
        </is>
      </c>
      <c r="I69" s="6" t="inlineStr">
        <is>
          <t>PB-063</t>
        </is>
      </c>
      <c r="J69" s="13" t="inlineStr">
        <is>
          <t>Not Started</t>
        </is>
      </c>
      <c r="K69" s="6" t="inlineStr"/>
    </row>
    <row r="70">
      <c r="A70" s="4" t="inlineStr">
        <is>
          <t>PB-066</t>
        </is>
      </c>
      <c r="B70" s="17" t="inlineStr">
        <is>
          <t>Analytics &amp; Dashboards</t>
        </is>
      </c>
      <c r="C70" s="6" t="inlineStr">
        <is>
          <t>Create aircraft and maintenance dashboard</t>
        </is>
      </c>
      <c r="D70" s="6" t="inlineStr">
        <is>
          <t>Develop dashboard for aircraft utilization and maintenance schedules.</t>
        </is>
      </c>
      <c r="E70" s="7" t="inlineStr">
        <is>
          <t>High</t>
        </is>
      </c>
      <c r="F70" s="20" t="inlineStr">
        <is>
          <t>Sprint 3</t>
        </is>
      </c>
      <c r="G70" s="6" t="n">
        <v>5</v>
      </c>
      <c r="H70" s="6" t="inlineStr">
        <is>
          <t>Dashboard supports utilization and maintenance monitoring.</t>
        </is>
      </c>
      <c r="I70" s="6" t="inlineStr">
        <is>
          <t>PB-063</t>
        </is>
      </c>
      <c r="J70" s="13" t="inlineStr">
        <is>
          <t>Not Started</t>
        </is>
      </c>
      <c r="K70" s="6" t="inlineStr"/>
    </row>
    <row r="71">
      <c r="A71" s="4" t="inlineStr">
        <is>
          <t>PB-067</t>
        </is>
      </c>
      <c r="B71" s="17" t="inlineStr">
        <is>
          <t>Analytics &amp; Dashboards</t>
        </is>
      </c>
      <c r="C71" s="6" t="inlineStr">
        <is>
          <t>Create baggage analytics dashboard</t>
        </is>
      </c>
      <c r="D71" s="6" t="inlineStr">
        <is>
          <t>Develop dashboard for baggage handling performance.</t>
        </is>
      </c>
      <c r="E71" s="12" t="inlineStr">
        <is>
          <t>Medium</t>
        </is>
      </c>
      <c r="F71" s="20" t="inlineStr">
        <is>
          <t>Sprint 3</t>
        </is>
      </c>
      <c r="G71" s="6" t="n">
        <v>5</v>
      </c>
      <c r="H71" s="6" t="inlineStr">
        <is>
          <t>Dashboard supports baggage performance analysis.</t>
        </is>
      </c>
      <c r="I71" s="6" t="inlineStr">
        <is>
          <t>PB-063</t>
        </is>
      </c>
      <c r="J71" s="13" t="inlineStr">
        <is>
          <t>Not Started</t>
        </is>
      </c>
      <c r="K71" s="6" t="inlineStr"/>
    </row>
    <row r="72">
      <c r="A72" s="4" t="inlineStr">
        <is>
          <t>PB-068</t>
        </is>
      </c>
      <c r="B72" s="17" t="inlineStr">
        <is>
          <t>Analytics &amp; Dashboards</t>
        </is>
      </c>
      <c r="C72" s="6" t="inlineStr">
        <is>
          <t>Create executive dashboard</t>
        </is>
      </c>
      <c r="D72" s="6" t="inlineStr">
        <is>
          <t>Develop executive operational and financial reporting dashboard.</t>
        </is>
      </c>
      <c r="E72" s="7" t="inlineStr">
        <is>
          <t>High</t>
        </is>
      </c>
      <c r="F72" s="20" t="inlineStr">
        <is>
          <t>Sprint 3</t>
        </is>
      </c>
      <c r="G72" s="6" t="n">
        <v>5</v>
      </c>
      <c r="H72" s="6" t="inlineStr">
        <is>
          <t>Dashboard provides executive-level operational and financial insights.</t>
        </is>
      </c>
      <c r="I72" s="6" t="inlineStr">
        <is>
          <t>PB-063</t>
        </is>
      </c>
      <c r="J72" s="13" t="inlineStr">
        <is>
          <t>Not Started</t>
        </is>
      </c>
      <c r="K72" s="6" t="inlineStr"/>
    </row>
    <row r="73">
      <c r="A73" s="4" t="inlineStr">
        <is>
          <t>PB-069</t>
        </is>
      </c>
      <c r="B73" s="17" t="inlineStr">
        <is>
          <t>Analytics &amp; Dashboards</t>
        </is>
      </c>
      <c r="C73" s="6" t="inlineStr">
        <is>
          <t>Validate dashboard metrics</t>
        </is>
      </c>
      <c r="D73" s="6" t="inlineStr">
        <is>
          <t>Reconcile dashboard KPIs to trusted warehouse queries.</t>
        </is>
      </c>
      <c r="E73" s="7" t="inlineStr">
        <is>
          <t>High</t>
        </is>
      </c>
      <c r="F73" s="20" t="inlineStr">
        <is>
          <t>Sprint 3</t>
        </is>
      </c>
      <c r="G73" s="6" t="n">
        <v>3</v>
      </c>
      <c r="H73" s="6" t="inlineStr">
        <is>
          <t>Dashboard metrics match validated source/warehouse calculations.</t>
        </is>
      </c>
      <c r="I73" s="6" t="inlineStr">
        <is>
          <t>PB-064; PB-065; PB-066; PB-067; PB-068</t>
        </is>
      </c>
      <c r="J73" s="13" t="inlineStr">
        <is>
          <t>Not Started</t>
        </is>
      </c>
      <c r="K73" s="6" t="inlineStr"/>
    </row>
    <row r="74">
      <c r="A74" s="4" t="inlineStr">
        <is>
          <t>PB-070</t>
        </is>
      </c>
      <c r="B74" s="21" t="inlineStr">
        <is>
          <t>Testing &amp; Documentation</t>
        </is>
      </c>
      <c r="C74" s="6" t="inlineStr">
        <is>
          <t>Create ingestion test cases</t>
        </is>
      </c>
      <c r="D74" s="6" t="inlineStr">
        <is>
          <t>Document test cases for source ingestion pipelines.</t>
        </is>
      </c>
      <c r="E74" s="7" t="inlineStr">
        <is>
          <t>High</t>
        </is>
      </c>
      <c r="F74" s="15" t="inlineStr">
        <is>
          <t>Sprint 1</t>
        </is>
      </c>
      <c r="G74" s="6" t="n">
        <v>3</v>
      </c>
      <c r="H74" s="6" t="inlineStr">
        <is>
          <t>Test cases cover successful, invalid and exception scenarios.</t>
        </is>
      </c>
      <c r="I74" s="6" t="inlineStr">
        <is>
          <t>PB-035</t>
        </is>
      </c>
      <c r="J74" s="13" t="inlineStr">
        <is>
          <t>Not Started</t>
        </is>
      </c>
      <c r="K74" s="6" t="inlineStr"/>
    </row>
    <row r="75">
      <c r="A75" s="4" t="inlineStr">
        <is>
          <t>PB-071</t>
        </is>
      </c>
      <c r="B75" s="21" t="inlineStr">
        <is>
          <t>Testing &amp; Documentation</t>
        </is>
      </c>
      <c r="C75" s="6" t="inlineStr">
        <is>
          <t>Create data quality test cases</t>
        </is>
      </c>
      <c r="D75" s="6" t="inlineStr">
        <is>
          <t>Document test cases for profiling and quality rules.</t>
        </is>
      </c>
      <c r="E75" s="7" t="inlineStr">
        <is>
          <t>High</t>
        </is>
      </c>
      <c r="F75" s="9" t="inlineStr">
        <is>
          <t>Sprint 2</t>
        </is>
      </c>
      <c r="G75" s="6" t="n">
        <v>3</v>
      </c>
      <c r="H75" s="6" t="inlineStr">
        <is>
          <t>Test cases cover missing, duplicate, consistency and validity checks.</t>
        </is>
      </c>
      <c r="I75" s="6" t="inlineStr">
        <is>
          <t>PB-043</t>
        </is>
      </c>
      <c r="J75" s="13" t="inlineStr">
        <is>
          <t>Not Started</t>
        </is>
      </c>
      <c r="K75" s="6" t="inlineStr"/>
    </row>
    <row r="76">
      <c r="A76" s="4" t="inlineStr">
        <is>
          <t>PB-072</t>
        </is>
      </c>
      <c r="B76" s="21" t="inlineStr">
        <is>
          <t>Testing &amp; Documentation</t>
        </is>
      </c>
      <c r="C76" s="6" t="inlineStr">
        <is>
          <t>Perform integration testing</t>
        </is>
      </c>
      <c r="D76" s="6" t="inlineStr">
        <is>
          <t>Test interaction between ingestion, staging, curated and warehouse components.</t>
        </is>
      </c>
      <c r="E76" s="7" t="inlineStr">
        <is>
          <t>High</t>
        </is>
      </c>
      <c r="F76" s="20" t="inlineStr">
        <is>
          <t>Sprint 3</t>
        </is>
      </c>
      <c r="G76" s="6" t="n">
        <v>5</v>
      </c>
      <c r="H76" s="6" t="inlineStr">
        <is>
          <t>Integration tests execute with documented results.</t>
        </is>
      </c>
      <c r="I76" s="6" t="inlineStr">
        <is>
          <t>PB-050; PB-062</t>
        </is>
      </c>
      <c r="J76" s="13" t="inlineStr">
        <is>
          <t>Not Started</t>
        </is>
      </c>
      <c r="K76" s="6" t="inlineStr"/>
    </row>
    <row r="77">
      <c r="A77" s="4" t="inlineStr">
        <is>
          <t>PB-073</t>
        </is>
      </c>
      <c r="B77" s="21" t="inlineStr">
        <is>
          <t>Testing &amp; Documentation</t>
        </is>
      </c>
      <c r="C77" s="6" t="inlineStr">
        <is>
          <t>Perform end-to-end testing</t>
        </is>
      </c>
      <c r="D77" s="6" t="inlineStr">
        <is>
          <t>Validate the full source-to-dashboard workflow.</t>
        </is>
      </c>
      <c r="E77" s="7" t="inlineStr">
        <is>
          <t>High</t>
        </is>
      </c>
      <c r="F77" s="20" t="inlineStr">
        <is>
          <t>Sprint 3</t>
        </is>
      </c>
      <c r="G77" s="6" t="n">
        <v>5</v>
      </c>
      <c r="H77" s="6" t="inlineStr">
        <is>
          <t>End-to-end flow passes critical acceptance tests.</t>
        </is>
      </c>
      <c r="I77" s="6" t="inlineStr">
        <is>
          <t>PB-069; PB-072</t>
        </is>
      </c>
      <c r="J77" s="13" t="inlineStr">
        <is>
          <t>Not Started</t>
        </is>
      </c>
      <c r="K77" s="6" t="inlineStr"/>
    </row>
    <row r="78">
      <c r="A78" s="4" t="inlineStr">
        <is>
          <t>PB-074</t>
        </is>
      </c>
      <c r="B78" s="21" t="inlineStr">
        <is>
          <t>Testing &amp; Documentation</t>
        </is>
      </c>
      <c r="C78" s="6" t="inlineStr">
        <is>
          <t>Prepare final technical documentation</t>
        </is>
      </c>
      <c r="D78" s="6" t="inlineStr">
        <is>
          <t>Compile architecture, ETL, database, governance, testing and analytics documentation.</t>
        </is>
      </c>
      <c r="E78" s="7" t="inlineStr">
        <is>
          <t>High</t>
        </is>
      </c>
      <c r="F78" s="20" t="inlineStr">
        <is>
          <t>Sprint 3</t>
        </is>
      </c>
      <c r="G78" s="6" t="n">
        <v>5</v>
      </c>
      <c r="H78" s="6" t="inlineStr">
        <is>
          <t>Final technical documentation is complete and version controlled.</t>
        </is>
      </c>
      <c r="I78" s="6" t="inlineStr">
        <is>
          <t>PB-073</t>
        </is>
      </c>
      <c r="J78" s="13" t="inlineStr">
        <is>
          <t>Not Started</t>
        </is>
      </c>
      <c r="K78" s="6" t="inlineStr"/>
    </row>
    <row r="79">
      <c r="A79" s="4" t="inlineStr">
        <is>
          <t>PB-075</t>
        </is>
      </c>
      <c r="B79" s="21" t="inlineStr">
        <is>
          <t>Testing &amp; Documentation</t>
        </is>
      </c>
      <c r="C79" s="6" t="inlineStr">
        <is>
          <t>Prepare final project presentation</t>
        </is>
      </c>
      <c r="D79" s="6" t="inlineStr">
        <is>
          <t>Prepare final presentation of solution, results and learnings.</t>
        </is>
      </c>
      <c r="E79" s="7" t="inlineStr">
        <is>
          <t>High</t>
        </is>
      </c>
      <c r="F79" s="20" t="inlineStr">
        <is>
          <t>Sprint 3</t>
        </is>
      </c>
      <c r="G79" s="6" t="n">
        <v>3</v>
      </c>
      <c r="H79" s="6" t="inlineStr">
        <is>
          <t>Presentation covers problem, architecture, implementation, analytics and outcomes.</t>
        </is>
      </c>
      <c r="I79" s="6" t="inlineStr">
        <is>
          <t>PB-074</t>
        </is>
      </c>
      <c r="J79" s="13" t="inlineStr">
        <is>
          <t>Not Started</t>
        </is>
      </c>
      <c r="K79" s="6" t="inlineStr"/>
    </row>
    <row r="80">
      <c r="A80" s="4" t="inlineStr">
        <is>
          <t>PB-076</t>
        </is>
      </c>
      <c r="B80" s="21" t="inlineStr">
        <is>
          <t>Testing &amp; Documentation</t>
        </is>
      </c>
      <c r="C80" s="6" t="inlineStr">
        <is>
          <t>Create final Git release</t>
        </is>
      </c>
      <c r="D80" s="6" t="inlineStr">
        <is>
          <t>Tag and document final project release in Git.</t>
        </is>
      </c>
      <c r="E80" s="7" t="inlineStr">
        <is>
          <t>High</t>
        </is>
      </c>
      <c r="F80" s="20" t="inlineStr">
        <is>
          <t>Sprint 3</t>
        </is>
      </c>
      <c r="G80" s="6" t="n">
        <v>2</v>
      </c>
      <c r="H80" s="6" t="inlineStr">
        <is>
          <t>Final release tag exists and repository history is complete.</t>
        </is>
      </c>
      <c r="I80" s="6" t="inlineStr">
        <is>
          <t>PB-074; PB-075</t>
        </is>
      </c>
      <c r="J80" s="13" t="inlineStr">
        <is>
          <t>Not Started</t>
        </is>
      </c>
      <c r="K80" s="6" t="inlineStr"/>
    </row>
  </sheetData>
  <autoFilter ref="A4:K80"/>
  <mergeCells count="2">
    <mergeCell ref="A2:K2"/>
    <mergeCell ref="A1:K1"/>
  </mergeCells>
  <dataValidations count="3">
    <dataValidation sqref="E5:E80" showDropDown="0" showInputMessage="0" showErrorMessage="0" allowBlank="1" type="list">
      <formula1>"High,Medium,Low"</formula1>
    </dataValidation>
    <dataValidation sqref="F5:F80" showDropDown="0" showInputMessage="0" showErrorMessage="0" allowBlank="1" type="list">
      <formula1>"Sprint 0,Sprint 1,Sprint 2,Sprint 3"</formula1>
    </dataValidation>
    <dataValidation sqref="J5:J80" showDropDown="0" showInputMessage="0" showErrorMessage="0" allowBlank="1" type="list">
      <formula1>"Not Started,In Progress,Completed,Blocked"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8" max="8"/>
    <col width="15" customWidth="1" min="9" max="9"/>
  </cols>
  <sheetData>
    <row r="1" ht="30" customHeight="1">
      <c r="A1" s="22" t="inlineStr">
        <is>
          <t>EADP PRODUCT BACKLOG DASHBOARD</t>
        </is>
      </c>
    </row>
    <row r="3">
      <c r="A3" s="23" t="inlineStr">
        <is>
          <t>Total Backlog Items</t>
        </is>
      </c>
      <c r="B3" s="24">
        <f>COUNTA('Product Backlog'!A5:A80)</f>
        <v/>
      </c>
      <c r="H3" s="23" t="inlineStr">
        <is>
          <t>Status</t>
        </is>
      </c>
      <c r="I3" s="23" t="inlineStr">
        <is>
          <t>Count</t>
        </is>
      </c>
    </row>
    <row r="4">
      <c r="A4" s="25" t="inlineStr">
        <is>
          <t>Completed</t>
        </is>
      </c>
      <c r="B4" s="24">
        <f>COUNTIF('Product Backlog'!J5:J80,"Completed")</f>
        <v/>
      </c>
      <c r="H4" t="inlineStr">
        <is>
          <t>Completed</t>
        </is>
      </c>
      <c r="I4">
        <f>COUNTIF('Product Backlog'!J5:J80,H4)</f>
        <v/>
      </c>
    </row>
    <row r="5">
      <c r="A5" s="26" t="inlineStr">
        <is>
          <t>In Progress</t>
        </is>
      </c>
      <c r="B5" s="24">
        <f>COUNTIF('Product Backlog'!J5:J80,"In Progress")</f>
        <v/>
      </c>
      <c r="H5" t="inlineStr">
        <is>
          <t>In Progress</t>
        </is>
      </c>
      <c r="I5">
        <f>COUNTIF('Product Backlog'!J5:J80,H5)</f>
        <v/>
      </c>
    </row>
    <row r="6">
      <c r="A6" s="27" t="inlineStr">
        <is>
          <t>Not Started</t>
        </is>
      </c>
      <c r="B6" s="24">
        <f>COUNTIF('Product Backlog'!J5:J80,"Not Started")</f>
        <v/>
      </c>
      <c r="H6" t="inlineStr">
        <is>
          <t>Not Started</t>
        </is>
      </c>
      <c r="I6">
        <f>COUNTIF('Product Backlog'!J5:J80,H6)</f>
        <v/>
      </c>
    </row>
    <row r="7">
      <c r="A7" s="28" t="inlineStr">
        <is>
          <t>Blocked</t>
        </is>
      </c>
      <c r="B7" s="24">
        <f>COUNTIF('Product Backlog'!J5:J80,"Blocked")</f>
        <v/>
      </c>
      <c r="H7" t="inlineStr">
        <is>
          <t>Blocked</t>
        </is>
      </c>
      <c r="I7">
        <f>COUNTIF('Product Backlog'!J5:J80,H7)</f>
        <v/>
      </c>
    </row>
    <row r="8">
      <c r="A8" s="29" t="inlineStr">
        <is>
          <t>Total Story Points</t>
        </is>
      </c>
      <c r="B8" s="24">
        <f>SUM('Product Backlog'!G5:G80)</f>
        <v/>
      </c>
    </row>
    <row r="10">
      <c r="A10" s="23" t="inlineStr">
        <is>
          <t>Sprint</t>
        </is>
      </c>
      <c r="B10" s="23" t="inlineStr">
        <is>
          <t>Items</t>
        </is>
      </c>
      <c r="C10" s="23" t="inlineStr">
        <is>
          <t>Completed</t>
        </is>
      </c>
      <c r="D10" s="23" t="inlineStr">
        <is>
          <t>Story Points</t>
        </is>
      </c>
      <c r="E10" s="23" t="inlineStr">
        <is>
          <t>Completion %</t>
        </is>
      </c>
      <c r="F10" s="23" t="n"/>
      <c r="G10" s="23" t="n"/>
      <c r="H10" s="23" t="n"/>
    </row>
    <row r="11">
      <c r="A11" t="inlineStr">
        <is>
          <t>Sprint 0</t>
        </is>
      </c>
      <c r="B11">
        <f>COUNTIF('Product Backlog'!F5:F80,A11)</f>
        <v/>
      </c>
      <c r="C11">
        <f>COUNTIFS('Product Backlog'!F5:F80,A11,'Product Backlog'!J5:J80,"Completed")</f>
        <v/>
      </c>
      <c r="D11">
        <f>SUMIF('Product Backlog'!F5:F80,A11,'Product Backlog'!G5:G80)</f>
        <v/>
      </c>
      <c r="E11" s="30">
        <f>IFERROR(C11/B11,0)</f>
        <v/>
      </c>
    </row>
    <row r="12">
      <c r="A12" t="inlineStr">
        <is>
          <t>Sprint 1</t>
        </is>
      </c>
      <c r="B12">
        <f>COUNTIF('Product Backlog'!F5:F80,A12)</f>
        <v/>
      </c>
      <c r="C12">
        <f>COUNTIFS('Product Backlog'!F5:F80,A12,'Product Backlog'!J5:J80,"Completed")</f>
        <v/>
      </c>
      <c r="D12">
        <f>SUMIF('Product Backlog'!F5:F80,A12,'Product Backlog'!G5:G80)</f>
        <v/>
      </c>
      <c r="E12" s="30">
        <f>IFERROR(C12/B12,0)</f>
        <v/>
      </c>
    </row>
    <row r="13">
      <c r="A13" t="inlineStr">
        <is>
          <t>Sprint 2</t>
        </is>
      </c>
      <c r="B13">
        <f>COUNTIF('Product Backlog'!F5:F80,A13)</f>
        <v/>
      </c>
      <c r="C13">
        <f>COUNTIFS('Product Backlog'!F5:F80,A13,'Product Backlog'!J5:J80,"Completed")</f>
        <v/>
      </c>
      <c r="D13">
        <f>SUMIF('Product Backlog'!F5:F80,A13,'Product Backlog'!G5:G80)</f>
        <v/>
      </c>
      <c r="E13" s="30">
        <f>IFERROR(C13/B13,0)</f>
        <v/>
      </c>
    </row>
    <row r="14">
      <c r="A14" t="inlineStr">
        <is>
          <t>Sprint 3</t>
        </is>
      </c>
      <c r="B14">
        <f>COUNTIF('Product Backlog'!F5:F80,A14)</f>
        <v/>
      </c>
      <c r="C14">
        <f>COUNTIFS('Product Backlog'!F5:F80,A14,'Product Backlog'!J5:J80,"Completed")</f>
        <v/>
      </c>
      <c r="D14">
        <f>SUMIF('Product Backlog'!F5:F80,A14,'Product Backlog'!G5:G80)</f>
        <v/>
      </c>
      <c r="E14" s="30">
        <f>IFERROR(C14/B14,0)</f>
        <v/>
      </c>
    </row>
    <row r="17">
      <c r="A17" s="29" t="inlineStr">
        <is>
          <t>Epic</t>
        </is>
      </c>
      <c r="B17" s="29" t="inlineStr">
        <is>
          <t>Items</t>
        </is>
      </c>
      <c r="C17" s="29" t="inlineStr">
        <is>
          <t>Completed</t>
        </is>
      </c>
      <c r="D17" s="29" t="inlineStr">
        <is>
          <t>Story Points</t>
        </is>
      </c>
      <c r="E17" s="29" t="n"/>
      <c r="F17" s="29" t="n"/>
      <c r="G17" s="29" t="n"/>
      <c r="H17" s="29" t="n"/>
    </row>
    <row r="18">
      <c r="A18" t="inlineStr">
        <is>
          <t>Analytics &amp; Dashboards</t>
        </is>
      </c>
      <c r="B18">
        <f>COUNTIF('Product Backlog'!B5:B80,A18)</f>
        <v/>
      </c>
      <c r="C18">
        <f>COUNTIFS('Product Backlog'!B5:B80,A18,'Product Backlog'!J5:J80,"Completed")</f>
        <v/>
      </c>
      <c r="D18">
        <f>SUMIF('Product Backlog'!B5:B80,A18,'Product Backlog'!G5:G80)</f>
        <v/>
      </c>
    </row>
    <row r="19">
      <c r="A19" t="inlineStr">
        <is>
          <t>Architecture &amp; Repository</t>
        </is>
      </c>
      <c r="B19">
        <f>COUNTIF('Product Backlog'!B5:B80,A19)</f>
        <v/>
      </c>
      <c r="C19">
        <f>COUNTIFS('Product Backlog'!B5:B80,A19,'Product Backlog'!J5:J80,"Completed")</f>
        <v/>
      </c>
      <c r="D19">
        <f>SUMIF('Product Backlog'!B5:B80,A19,'Product Backlog'!G5:G80)</f>
        <v/>
      </c>
    </row>
    <row r="20">
      <c r="A20" t="inlineStr">
        <is>
          <t>Data Ingestion</t>
        </is>
      </c>
      <c r="B20">
        <f>COUNTIF('Product Backlog'!B5:B80,A20)</f>
        <v/>
      </c>
      <c r="C20">
        <f>COUNTIFS('Product Backlog'!B5:B80,A20,'Product Backlog'!J5:J80,"Completed")</f>
        <v/>
      </c>
      <c r="D20">
        <f>SUMIF('Product Backlog'!B5:B80,A20,'Product Backlog'!G5:G80)</f>
        <v/>
      </c>
    </row>
    <row r="21">
      <c r="A21" t="inlineStr">
        <is>
          <t>Data Profiling &amp; Quality</t>
        </is>
      </c>
      <c r="B21">
        <f>COUNTIF('Product Backlog'!B5:B80,A21)</f>
        <v/>
      </c>
      <c r="C21">
        <f>COUNTIFS('Product Backlog'!B5:B80,A21,'Product Backlog'!J5:J80,"Completed")</f>
        <v/>
      </c>
      <c r="D21">
        <f>SUMIF('Product Backlog'!B5:B80,A21,'Product Backlog'!G5:G80)</f>
        <v/>
      </c>
    </row>
    <row r="22">
      <c r="A22" t="inlineStr">
        <is>
          <t>Data Warehouse</t>
        </is>
      </c>
      <c r="B22">
        <f>COUNTIF('Product Backlog'!B5:B80,A22)</f>
        <v/>
      </c>
      <c r="C22">
        <f>COUNTIFS('Product Backlog'!B5:B80,A22,'Product Backlog'!J5:J80,"Completed")</f>
        <v/>
      </c>
      <c r="D22">
        <f>SUMIF('Product Backlog'!B5:B80,A22,'Product Backlog'!G5:G80)</f>
        <v/>
      </c>
    </row>
    <row r="23">
      <c r="A23" t="inlineStr">
        <is>
          <t>ETL Orchestration</t>
        </is>
      </c>
      <c r="B23">
        <f>COUNTIF('Product Backlog'!B5:B80,A23)</f>
        <v/>
      </c>
      <c r="C23">
        <f>COUNTIFS('Product Backlog'!B5:B80,A23,'Product Backlog'!J5:J80,"Completed")</f>
        <v/>
      </c>
      <c r="D23">
        <f>SUMIF('Product Backlog'!B5:B80,A23,'Product Backlog'!G5:G80)</f>
        <v/>
      </c>
    </row>
    <row r="24">
      <c r="A24" t="inlineStr">
        <is>
          <t>Governance &amp; Lineage</t>
        </is>
      </c>
      <c r="B24">
        <f>COUNTIF('Product Backlog'!B5:B80,A24)</f>
        <v/>
      </c>
      <c r="C24">
        <f>COUNTIFS('Product Backlog'!B5:B80,A24,'Product Backlog'!J5:J80,"Completed")</f>
        <v/>
      </c>
      <c r="D24">
        <f>SUMIF('Product Backlog'!B5:B80,A24,'Product Backlog'!G5:G80)</f>
        <v/>
      </c>
    </row>
    <row r="25">
      <c r="A25" t="inlineStr">
        <is>
          <t>Project Initiation</t>
        </is>
      </c>
      <c r="B25">
        <f>COUNTIF('Product Backlog'!B5:B80,A25)</f>
        <v/>
      </c>
      <c r="C25">
        <f>COUNTIFS('Product Backlog'!B5:B80,A25,'Product Backlog'!J5:J80,"Completed")</f>
        <v/>
      </c>
      <c r="D25">
        <f>SUMIF('Product Backlog'!B5:B80,A25,'Product Backlog'!G5:G80)</f>
        <v/>
      </c>
    </row>
    <row r="26">
      <c r="A26" t="inlineStr">
        <is>
          <t>Source Discovery</t>
        </is>
      </c>
      <c r="B26">
        <f>COUNTIF('Product Backlog'!B5:B80,A26)</f>
        <v/>
      </c>
      <c r="C26">
        <f>COUNTIFS('Product Backlog'!B5:B80,A26,'Product Backlog'!J5:J80,"Completed")</f>
        <v/>
      </c>
      <c r="D26">
        <f>SUMIF('Product Backlog'!B5:B80,A26,'Product Backlog'!G5:G80)</f>
        <v/>
      </c>
    </row>
    <row r="27">
      <c r="A27" t="inlineStr">
        <is>
          <t>Testing &amp; Documentation</t>
        </is>
      </c>
      <c r="B27">
        <f>COUNTIF('Product Backlog'!B5:B80,A27)</f>
        <v/>
      </c>
      <c r="C27">
        <f>COUNTIFS('Product Backlog'!B5:B80,A27,'Product Backlog'!J5:J80,"Completed")</f>
        <v/>
      </c>
      <c r="D27">
        <f>SUMIF('Product Backlog'!B5:B80,A27,'Product Backlog'!G5:G80)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31" t="inlineStr">
        <is>
          <t>EADP PRODUCT BACKLOG — INSTRUCTIONS</t>
        </is>
      </c>
    </row>
    <row r="3">
      <c r="A3" s="23" t="inlineStr">
        <is>
          <t>Purpose</t>
        </is>
      </c>
      <c r="B3" s="32" t="inlineStr">
        <is>
          <t>This workbook is the EADP Product Backlog for UC8. It converts the source-defined sprint roadmap into trackable backlog items.</t>
        </is>
      </c>
    </row>
    <row r="4">
      <c r="A4" s="23" t="inlineStr">
        <is>
          <t>How to use</t>
        </is>
      </c>
      <c r="B4" s="32" t="inlineStr">
        <is>
          <t>Use Product Backlog as the master list. Filter by Sprint, Epic, Priority or Status. Use Dashboard for summary.</t>
        </is>
      </c>
    </row>
    <row r="5">
      <c r="A5" s="23" t="inlineStr">
        <is>
          <t>Status tags</t>
        </is>
      </c>
      <c r="B5" s="32" t="inlineStr">
        <is>
          <t>Completed = green; In Progress = yellow; Not Started = gray; Blocked = red.</t>
        </is>
      </c>
    </row>
    <row r="6">
      <c r="A6" s="23" t="inlineStr">
        <is>
          <t>Priority tags</t>
        </is>
      </c>
      <c r="B6" s="32" t="inlineStr">
        <is>
          <t>High = red; Medium = orange; Low = gray.</t>
        </is>
      </c>
    </row>
    <row r="7">
      <c r="A7" s="23" t="inlineStr">
        <is>
          <t>Sprint tags</t>
        </is>
      </c>
      <c r="B7" s="32" t="inlineStr">
        <is>
          <t>Sprint 0 = blue; Sprint 1 = orange; Sprint 2 = green; Sprint 3 = purple.</t>
        </is>
      </c>
    </row>
    <row r="8">
      <c r="A8" s="23" t="inlineStr">
        <is>
          <t>Story points</t>
        </is>
      </c>
      <c r="B8" s="32" t="inlineStr">
        <is>
          <t>Relative effort estimate. These are planning estimates, not hours.</t>
        </is>
      </c>
    </row>
    <row r="9">
      <c r="A9" s="23" t="inlineStr">
        <is>
          <t>Acceptance criteria</t>
        </is>
      </c>
      <c r="B9" s="32" t="inlineStr">
        <is>
          <t>Definition of Done for each backlog item. Update only when requirements or implementation decisions change.</t>
        </is>
      </c>
    </row>
    <row r="10">
      <c r="A10" s="23" t="inlineStr">
        <is>
          <t>Git history</t>
        </is>
      </c>
      <c r="B10" s="32" t="inlineStr">
        <is>
          <t>Commit meaningful changes as work is completed; do not create artificial commits.</t>
        </is>
      </c>
    </row>
    <row r="11">
      <c r="A11" s="23" t="inlineStr">
        <is>
          <t>Source basis</t>
        </is>
      </c>
      <c r="B11" s="32" t="inlineStr">
        <is>
          <t>The UC8 source defines Sprint 0 project initiation/architecture, Sprint 1 discovery/ingestion, Sprint 2 profiling/warehouse and Sprint 3 governance/lineage/analytics.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Priority</t>
        </is>
      </c>
      <c r="B1" s="23" t="inlineStr">
        <is>
          <t>Sprint</t>
        </is>
      </c>
      <c r="C1" s="23" t="inlineStr">
        <is>
          <t>Status</t>
        </is>
      </c>
    </row>
    <row r="2">
      <c r="A2" t="inlineStr">
        <is>
          <t>High</t>
        </is>
      </c>
      <c r="B2" t="inlineStr">
        <is>
          <t>Sprint 0</t>
        </is>
      </c>
      <c r="C2" t="inlineStr">
        <is>
          <t>Not Started</t>
        </is>
      </c>
    </row>
    <row r="3">
      <c r="A3" t="inlineStr">
        <is>
          <t>Medium</t>
        </is>
      </c>
      <c r="B3" t="inlineStr">
        <is>
          <t>Sprint 1</t>
        </is>
      </c>
      <c r="C3" t="inlineStr">
        <is>
          <t>In Progress</t>
        </is>
      </c>
    </row>
    <row r="4">
      <c r="A4" t="inlineStr">
        <is>
          <t>Low</t>
        </is>
      </c>
      <c r="B4" t="inlineStr">
        <is>
          <t>Sprint 2</t>
        </is>
      </c>
      <c r="C4" t="inlineStr">
        <is>
          <t>Completed</t>
        </is>
      </c>
    </row>
    <row r="5">
      <c r="B5" t="inlineStr">
        <is>
          <t>Sprint 3</t>
        </is>
      </c>
      <c r="C5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2026-08-19T18:50:06Z</dcterms:created>
  <dcterms:modified xmlns:dcterms="http://purl.org/dc/terms/" xmlns:xsi="http://www.w3.org/2001/XMLSchema-instance" xsi:type="dcterms:W3CDTF">2026-08-19T18:50:06Z</dcterms:modified>
</cp:coreProperties>
</file>